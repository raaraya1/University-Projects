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drigo\Desktop\Estudios de casos aplicados\Caso 2\Avance 2\Informe final\Entregables-IFC2-G07\Herramienta complementaria\"/>
    </mc:Choice>
  </mc:AlternateContent>
  <xr:revisionPtr revIDLastSave="0" documentId="13_ncr:1_{9B450EF8-BE83-4E92-8A1B-7E2DEA772D68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Parametros de entrada" sheetId="1" r:id="rId1"/>
    <sheet name="Respaldo parametros NI" sheetId="2" r:id="rId2"/>
    <sheet name="Tabla de resultados" sheetId="3" r:id="rId3"/>
    <sheet name="Demanda ajustada" sheetId="4" r:id="rId4"/>
    <sheet name="Resultados" sheetId="5" state="hidden" r:id="rId5"/>
    <sheet name="Resultados_s1" sheetId="6" state="hidden" r:id="rId6"/>
    <sheet name="Resultados_s2" sheetId="7" state="hidden" r:id="rId7"/>
    <sheet name="Resultados_r1" sheetId="8" state="hidden" r:id="rId8"/>
    <sheet name="Resultados_r2" sheetId="9" state="hidden" r:id="rId9"/>
    <sheet name="Resultados_y" sheetId="10" state="hidden" r:id="rId10"/>
    <sheet name="Resultados_k" sheetId="11" state="hidden" r:id="rId11"/>
  </sheets>
  <definedNames>
    <definedName name="_xlnm._FilterDatabase" localSheetId="0" hidden="1">'Parametros de entrada'!$S$2:$AA$387</definedName>
    <definedName name="_xlnm._FilterDatabase" localSheetId="4" hidden="1">Resultados!$J$1:$N$102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9" i="1" l="1"/>
  <c r="AF10" i="1"/>
  <c r="AF11" i="1"/>
  <c r="AF8" i="1"/>
  <c r="AU23" i="5" l="1"/>
  <c r="AT23" i="5"/>
  <c r="AS23" i="5"/>
  <c r="AR23" i="5"/>
  <c r="AV23" i="5" s="1"/>
  <c r="AO23" i="5"/>
  <c r="AN23" i="5"/>
  <c r="AM23" i="5"/>
  <c r="AL23" i="5"/>
  <c r="AU22" i="5"/>
  <c r="AT22" i="5"/>
  <c r="AS22" i="5"/>
  <c r="AR22" i="5"/>
  <c r="AV22" i="5" s="1"/>
  <c r="AO22" i="5"/>
  <c r="AN22" i="5"/>
  <c r="AM22" i="5"/>
  <c r="AL22" i="5"/>
  <c r="AU21" i="5"/>
  <c r="AT21" i="5"/>
  <c r="AS21" i="5"/>
  <c r="AR21" i="5"/>
  <c r="AV21" i="5" s="1"/>
  <c r="AO21" i="5"/>
  <c r="AN21" i="5"/>
  <c r="AM21" i="5"/>
  <c r="AL21" i="5"/>
  <c r="AU20" i="5"/>
  <c r="AT20" i="5"/>
  <c r="AS20" i="5"/>
  <c r="AR20" i="5"/>
  <c r="AV20" i="5" s="1"/>
  <c r="AO20" i="5"/>
  <c r="AN20" i="5"/>
  <c r="AM20" i="5"/>
  <c r="AL20" i="5"/>
  <c r="AU19" i="5"/>
  <c r="AT19" i="5"/>
  <c r="AS19" i="5"/>
  <c r="AR19" i="5"/>
  <c r="AV19" i="5" s="1"/>
  <c r="AO19" i="5"/>
  <c r="AN19" i="5"/>
  <c r="AM19" i="5"/>
  <c r="AL19" i="5"/>
  <c r="AU18" i="5"/>
  <c r="AT18" i="5"/>
  <c r="AS18" i="5"/>
  <c r="AR18" i="5"/>
  <c r="AV18" i="5" s="1"/>
  <c r="AO18" i="5"/>
  <c r="AN18" i="5"/>
  <c r="AM18" i="5"/>
  <c r="AL18" i="5"/>
  <c r="AU17" i="5"/>
  <c r="AT17" i="5"/>
  <c r="AS17" i="5"/>
  <c r="AR17" i="5"/>
  <c r="AV17" i="5" s="1"/>
  <c r="AO17" i="5"/>
  <c r="AN17" i="5"/>
  <c r="AM17" i="5"/>
  <c r="AL17" i="5"/>
  <c r="AU16" i="5"/>
  <c r="AU24" i="5" s="1"/>
  <c r="AT16" i="5"/>
  <c r="AT24" i="5" s="1"/>
  <c r="AS16" i="5"/>
  <c r="AS24" i="5" s="1"/>
  <c r="AR16" i="5"/>
  <c r="AR24" i="5" s="1"/>
  <c r="AO16" i="5"/>
  <c r="AN16" i="5"/>
  <c r="AM16" i="5"/>
  <c r="AL16" i="5"/>
  <c r="Y16" i="5"/>
  <c r="Z15" i="5"/>
  <c r="Y15" i="5"/>
  <c r="X15" i="5"/>
  <c r="W15" i="5"/>
  <c r="AA15" i="5" s="1"/>
  <c r="T15" i="5"/>
  <c r="S15" i="5"/>
  <c r="R15" i="5"/>
  <c r="Q15" i="5"/>
  <c r="Z14" i="5"/>
  <c r="Y14" i="5"/>
  <c r="X14" i="5"/>
  <c r="W14" i="5"/>
  <c r="AA14" i="5" s="1"/>
  <c r="T14" i="5"/>
  <c r="S14" i="5"/>
  <c r="R14" i="5"/>
  <c r="Q14" i="5"/>
  <c r="Z13" i="5"/>
  <c r="Y13" i="5"/>
  <c r="X13" i="5"/>
  <c r="W13" i="5"/>
  <c r="AA13" i="5" s="1"/>
  <c r="T13" i="5"/>
  <c r="S13" i="5"/>
  <c r="R13" i="5"/>
  <c r="Q13" i="5"/>
  <c r="Z12" i="5"/>
  <c r="Z16" i="5" s="1"/>
  <c r="Y12" i="5"/>
  <c r="X12" i="5"/>
  <c r="X16" i="5" s="1"/>
  <c r="W12" i="5"/>
  <c r="W16" i="5" s="1"/>
  <c r="T12" i="5"/>
  <c r="S12" i="5"/>
  <c r="R12" i="5"/>
  <c r="Q12" i="5"/>
  <c r="AU11" i="5"/>
  <c r="AT11" i="5"/>
  <c r="AS11" i="5"/>
  <c r="AR11" i="5"/>
  <c r="AV11" i="5" s="1"/>
  <c r="AO11" i="5"/>
  <c r="AN11" i="5"/>
  <c r="AM11" i="5"/>
  <c r="AL11" i="5"/>
  <c r="AU10" i="5"/>
  <c r="AT10" i="5"/>
  <c r="AS10" i="5"/>
  <c r="AR10" i="5"/>
  <c r="AV10" i="5" s="1"/>
  <c r="AO10" i="5"/>
  <c r="AN10" i="5"/>
  <c r="AM10" i="5"/>
  <c r="AL10" i="5"/>
  <c r="AU9" i="5"/>
  <c r="AT9" i="5"/>
  <c r="AS9" i="5"/>
  <c r="AR9" i="5"/>
  <c r="AV9" i="5" s="1"/>
  <c r="AO9" i="5"/>
  <c r="AN9" i="5"/>
  <c r="AM9" i="5"/>
  <c r="AL9" i="5"/>
  <c r="AU8" i="5"/>
  <c r="AT8" i="5"/>
  <c r="AS8" i="5"/>
  <c r="AR8" i="5"/>
  <c r="AV8" i="5" s="1"/>
  <c r="AO8" i="5"/>
  <c r="AN8" i="5"/>
  <c r="AM8" i="5"/>
  <c r="AL8" i="5"/>
  <c r="AU7" i="5"/>
  <c r="AT7" i="5"/>
  <c r="AS7" i="5"/>
  <c r="AR7" i="5"/>
  <c r="AV7" i="5" s="1"/>
  <c r="AO7" i="5"/>
  <c r="AN7" i="5"/>
  <c r="AM7" i="5"/>
  <c r="AL7" i="5"/>
  <c r="Z7" i="5"/>
  <c r="Y7" i="5"/>
  <c r="X7" i="5"/>
  <c r="W7" i="5"/>
  <c r="T7" i="5"/>
  <c r="S7" i="5"/>
  <c r="R7" i="5"/>
  <c r="Q7" i="5"/>
  <c r="AU6" i="5"/>
  <c r="AT6" i="5"/>
  <c r="AS6" i="5"/>
  <c r="AR6" i="5"/>
  <c r="AO6" i="5"/>
  <c r="AN6" i="5"/>
  <c r="AM6" i="5"/>
  <c r="AL6" i="5"/>
  <c r="Z6" i="5"/>
  <c r="Y6" i="5"/>
  <c r="X6" i="5"/>
  <c r="W6" i="5"/>
  <c r="T6" i="5"/>
  <c r="S6" i="5"/>
  <c r="R6" i="5"/>
  <c r="Q6" i="5"/>
  <c r="AU5" i="5"/>
  <c r="AT5" i="5"/>
  <c r="AS5" i="5"/>
  <c r="AR5" i="5"/>
  <c r="AV5" i="5" s="1"/>
  <c r="AO5" i="5"/>
  <c r="AN5" i="5"/>
  <c r="AM5" i="5"/>
  <c r="AL5" i="5"/>
  <c r="Z5" i="5"/>
  <c r="Y5" i="5"/>
  <c r="X5" i="5"/>
  <c r="W5" i="5"/>
  <c r="AA5" i="5" s="1"/>
  <c r="T5" i="5"/>
  <c r="S5" i="5"/>
  <c r="R5" i="5"/>
  <c r="Q5" i="5"/>
  <c r="AU4" i="5"/>
  <c r="AU12" i="5" s="1"/>
  <c r="AT4" i="5"/>
  <c r="AT12" i="5" s="1"/>
  <c r="AS4" i="5"/>
  <c r="AS12" i="5" s="1"/>
  <c r="AR4" i="5"/>
  <c r="AR12" i="5" s="1"/>
  <c r="AO4" i="5"/>
  <c r="AN4" i="5"/>
  <c r="AM4" i="5"/>
  <c r="AL4" i="5"/>
  <c r="Z4" i="5"/>
  <c r="Z8" i="5" s="1"/>
  <c r="Y4" i="5"/>
  <c r="Y8" i="5" s="1"/>
  <c r="X4" i="5"/>
  <c r="W4" i="5"/>
  <c r="W8" i="5" s="1"/>
  <c r="T4" i="5"/>
  <c r="S4" i="5"/>
  <c r="R4" i="5"/>
  <c r="Q4" i="5"/>
  <c r="D29" i="4"/>
  <c r="H27" i="4"/>
  <c r="Q25" i="4"/>
  <c r="I13" i="4"/>
  <c r="I28" i="4" s="1"/>
  <c r="Q30" i="4" s="1"/>
  <c r="H13" i="4"/>
  <c r="H28" i="4" s="1"/>
  <c r="Q26" i="4" s="1"/>
  <c r="E13" i="4"/>
  <c r="E28" i="4" s="1"/>
  <c r="Q14" i="4" s="1"/>
  <c r="D13" i="4"/>
  <c r="D28" i="4" s="1"/>
  <c r="Q10" i="4" s="1"/>
  <c r="Q11" i="4"/>
  <c r="I11" i="4"/>
  <c r="I26" i="4" s="1"/>
  <c r="Q28" i="4" s="1"/>
  <c r="H11" i="4"/>
  <c r="H26" i="4" s="1"/>
  <c r="Q24" i="4" s="1"/>
  <c r="E11" i="4"/>
  <c r="E26" i="4" s="1"/>
  <c r="Q12" i="4" s="1"/>
  <c r="D11" i="4"/>
  <c r="D26" i="4" s="1"/>
  <c r="Q8" i="4" s="1"/>
  <c r="I7" i="4"/>
  <c r="I22" i="4" s="1"/>
  <c r="P31" i="4" s="1"/>
  <c r="H7" i="4"/>
  <c r="H22" i="4" s="1"/>
  <c r="P27" i="4" s="1"/>
  <c r="E7" i="4"/>
  <c r="E22" i="4" s="1"/>
  <c r="P15" i="4" s="1"/>
  <c r="D7" i="4"/>
  <c r="D22" i="4" s="1"/>
  <c r="P11" i="4" s="1"/>
  <c r="I5" i="4"/>
  <c r="I20" i="4" s="1"/>
  <c r="P29" i="4" s="1"/>
  <c r="H5" i="4"/>
  <c r="H20" i="4" s="1"/>
  <c r="P25" i="4" s="1"/>
  <c r="E5" i="4"/>
  <c r="E20" i="4" s="1"/>
  <c r="P13" i="4" s="1"/>
  <c r="D5" i="4"/>
  <c r="D20" i="4" s="1"/>
  <c r="P9" i="4" s="1"/>
  <c r="I26" i="3"/>
  <c r="H26" i="3"/>
  <c r="E26" i="3"/>
  <c r="D26" i="3"/>
  <c r="D22" i="3"/>
  <c r="C22" i="3"/>
  <c r="M21" i="3"/>
  <c r="D21" i="3"/>
  <c r="C21" i="3"/>
  <c r="M20" i="3"/>
  <c r="D20" i="3"/>
  <c r="C20" i="3"/>
  <c r="M19" i="3"/>
  <c r="D19" i="3"/>
  <c r="C19" i="3"/>
  <c r="M18" i="3"/>
  <c r="P15" i="3"/>
  <c r="O15" i="3"/>
  <c r="N15" i="3"/>
  <c r="M15" i="3"/>
  <c r="J15" i="3"/>
  <c r="J14" i="4" s="1"/>
  <c r="J29" i="4" s="1"/>
  <c r="Q35" i="4" s="1"/>
  <c r="I15" i="3"/>
  <c r="I14" i="4" s="1"/>
  <c r="I29" i="4" s="1"/>
  <c r="Q31" i="4" s="1"/>
  <c r="H15" i="3"/>
  <c r="H14" i="4" s="1"/>
  <c r="H29" i="4" s="1"/>
  <c r="Q27" i="4" s="1"/>
  <c r="G15" i="3"/>
  <c r="G14" i="4" s="1"/>
  <c r="G29" i="4" s="1"/>
  <c r="Q23" i="4" s="1"/>
  <c r="F15" i="3"/>
  <c r="N28" i="3" s="1"/>
  <c r="E15" i="3"/>
  <c r="E14" i="4" s="1"/>
  <c r="E29" i="4" s="1"/>
  <c r="Q15" i="4" s="1"/>
  <c r="D15" i="3"/>
  <c r="D14" i="4" s="1"/>
  <c r="C15" i="3"/>
  <c r="C14" i="4" s="1"/>
  <c r="C29" i="4" s="1"/>
  <c r="Q7" i="4" s="1"/>
  <c r="P14" i="3"/>
  <c r="O14" i="3"/>
  <c r="N14" i="3"/>
  <c r="M14" i="3"/>
  <c r="J14" i="3"/>
  <c r="I14" i="3"/>
  <c r="H14" i="3"/>
  <c r="G14" i="3"/>
  <c r="F14" i="3"/>
  <c r="E14" i="3"/>
  <c r="D14" i="3"/>
  <c r="C14" i="3"/>
  <c r="P13" i="3"/>
  <c r="O13" i="3"/>
  <c r="N13" i="3"/>
  <c r="M13" i="3"/>
  <c r="J13" i="3"/>
  <c r="J12" i="4" s="1"/>
  <c r="J27" i="4" s="1"/>
  <c r="Q33" i="4" s="1"/>
  <c r="I13" i="3"/>
  <c r="I12" i="4" s="1"/>
  <c r="I27" i="4" s="1"/>
  <c r="Q29" i="4" s="1"/>
  <c r="H13" i="3"/>
  <c r="H12" i="4" s="1"/>
  <c r="G13" i="3"/>
  <c r="G12" i="4" s="1"/>
  <c r="G27" i="4" s="1"/>
  <c r="Q21" i="4" s="1"/>
  <c r="F13" i="3"/>
  <c r="F12" i="4" s="1"/>
  <c r="F27" i="4" s="1"/>
  <c r="Q17" i="4" s="1"/>
  <c r="E13" i="3"/>
  <c r="E12" i="4" s="1"/>
  <c r="E27" i="4" s="1"/>
  <c r="Q13" i="4" s="1"/>
  <c r="D13" i="3"/>
  <c r="D12" i="4" s="1"/>
  <c r="D27" i="4" s="1"/>
  <c r="Q9" i="4" s="1"/>
  <c r="C13" i="3"/>
  <c r="N26" i="3" s="1"/>
  <c r="P12" i="3"/>
  <c r="O12" i="3"/>
  <c r="N12" i="3"/>
  <c r="M12" i="3"/>
  <c r="J12" i="3"/>
  <c r="J27" i="3" s="1"/>
  <c r="I12" i="3"/>
  <c r="I27" i="3" s="1"/>
  <c r="H12" i="3"/>
  <c r="H27" i="3" s="1"/>
  <c r="G12" i="3"/>
  <c r="F12" i="3"/>
  <c r="E12" i="3"/>
  <c r="E27" i="3" s="1"/>
  <c r="D12" i="3"/>
  <c r="D27" i="3" s="1"/>
  <c r="C12" i="3"/>
  <c r="P7" i="3"/>
  <c r="O7" i="3"/>
  <c r="N7" i="3"/>
  <c r="M7" i="3"/>
  <c r="J7" i="3"/>
  <c r="J7" i="4" s="1"/>
  <c r="J22" i="4" s="1"/>
  <c r="P35" i="4" s="1"/>
  <c r="I7" i="3"/>
  <c r="H7" i="3"/>
  <c r="G7" i="3"/>
  <c r="G7" i="4" s="1"/>
  <c r="G22" i="4" s="1"/>
  <c r="P23" i="4" s="1"/>
  <c r="F7" i="3"/>
  <c r="F7" i="4" s="1"/>
  <c r="F22" i="4" s="1"/>
  <c r="P19" i="4" s="1"/>
  <c r="E7" i="3"/>
  <c r="D7" i="3"/>
  <c r="C7" i="3"/>
  <c r="P6" i="3"/>
  <c r="O6" i="3"/>
  <c r="N6" i="3"/>
  <c r="M6" i="3"/>
  <c r="J6" i="3"/>
  <c r="J6" i="4" s="1"/>
  <c r="J21" i="4" s="1"/>
  <c r="P34" i="4" s="1"/>
  <c r="I6" i="3"/>
  <c r="I6" i="4" s="1"/>
  <c r="I21" i="4" s="1"/>
  <c r="P30" i="4" s="1"/>
  <c r="H6" i="3"/>
  <c r="H6" i="4" s="1"/>
  <c r="H21" i="4" s="1"/>
  <c r="P26" i="4" s="1"/>
  <c r="G6" i="3"/>
  <c r="G6" i="4" s="1"/>
  <c r="G21" i="4" s="1"/>
  <c r="P22" i="4" s="1"/>
  <c r="F6" i="3"/>
  <c r="F6" i="4" s="1"/>
  <c r="F21" i="4" s="1"/>
  <c r="P18" i="4" s="1"/>
  <c r="E6" i="3"/>
  <c r="E6" i="4" s="1"/>
  <c r="E21" i="4" s="1"/>
  <c r="P14" i="4" s="1"/>
  <c r="D6" i="3"/>
  <c r="D6" i="4" s="1"/>
  <c r="D21" i="4" s="1"/>
  <c r="P10" i="4" s="1"/>
  <c r="C6" i="3"/>
  <c r="C6" i="4" s="1"/>
  <c r="C21" i="4" s="1"/>
  <c r="P6" i="4" s="1"/>
  <c r="P5" i="3"/>
  <c r="O5" i="3"/>
  <c r="N5" i="3"/>
  <c r="M5" i="3"/>
  <c r="J5" i="3"/>
  <c r="J5" i="4" s="1"/>
  <c r="J20" i="4" s="1"/>
  <c r="P33" i="4" s="1"/>
  <c r="I5" i="3"/>
  <c r="H5" i="3"/>
  <c r="G5" i="3"/>
  <c r="G5" i="4" s="1"/>
  <c r="G20" i="4" s="1"/>
  <c r="P21" i="4" s="1"/>
  <c r="F5" i="3"/>
  <c r="F5" i="4" s="1"/>
  <c r="F20" i="4" s="1"/>
  <c r="P17" i="4" s="1"/>
  <c r="E5" i="3"/>
  <c r="D5" i="3"/>
  <c r="C5" i="3"/>
  <c r="P4" i="3"/>
  <c r="O4" i="3"/>
  <c r="N4" i="3"/>
  <c r="M4" i="3"/>
  <c r="J4" i="3"/>
  <c r="J26" i="3" s="1"/>
  <c r="I4" i="3"/>
  <c r="I4" i="4" s="1"/>
  <c r="I19" i="4" s="1"/>
  <c r="P28" i="4" s="1"/>
  <c r="H4" i="3"/>
  <c r="H4" i="4" s="1"/>
  <c r="H19" i="4" s="1"/>
  <c r="P24" i="4" s="1"/>
  <c r="G4" i="3"/>
  <c r="G26" i="3" s="1"/>
  <c r="F4" i="3"/>
  <c r="F26" i="3" s="1"/>
  <c r="E4" i="3"/>
  <c r="E4" i="4" s="1"/>
  <c r="E19" i="4" s="1"/>
  <c r="P12" i="4" s="1"/>
  <c r="D4" i="3"/>
  <c r="D4" i="4" s="1"/>
  <c r="D19" i="4" s="1"/>
  <c r="P8" i="4" s="1"/>
  <c r="C4" i="3"/>
  <c r="C26" i="3" s="1"/>
  <c r="AD396" i="1"/>
  <c r="AD395" i="1"/>
  <c r="AD394" i="1"/>
  <c r="AD393" i="1"/>
  <c r="AD392" i="1"/>
  <c r="AD391" i="1"/>
  <c r="AD390" i="1"/>
  <c r="AD389" i="1"/>
  <c r="W67" i="1"/>
  <c r="W66" i="1"/>
  <c r="W65" i="1"/>
  <c r="W63" i="1"/>
  <c r="W62" i="1"/>
  <c r="W61" i="1"/>
  <c r="W59" i="1"/>
  <c r="W58" i="1"/>
  <c r="W57" i="1"/>
  <c r="W55" i="1"/>
  <c r="W54" i="1"/>
  <c r="W53" i="1"/>
  <c r="W51" i="1"/>
  <c r="W50" i="1"/>
  <c r="W49" i="1"/>
  <c r="W47" i="1"/>
  <c r="W46" i="1"/>
  <c r="W45" i="1"/>
  <c r="W43" i="1"/>
  <c r="W42" i="1"/>
  <c r="W41" i="1"/>
  <c r="W39" i="1"/>
  <c r="W38" i="1"/>
  <c r="W37" i="1"/>
  <c r="J13" i="4" l="1"/>
  <c r="J28" i="4" s="1"/>
  <c r="Q34" i="4" s="1"/>
  <c r="F14" i="4"/>
  <c r="F29" i="4" s="1"/>
  <c r="Q19" i="4" s="1"/>
  <c r="C7" i="4"/>
  <c r="C22" i="4" s="1"/>
  <c r="P7" i="4" s="1"/>
  <c r="M28" i="3"/>
  <c r="G11" i="4"/>
  <c r="G26" i="4" s="1"/>
  <c r="Q20" i="4" s="1"/>
  <c r="C13" i="4"/>
  <c r="C28" i="4" s="1"/>
  <c r="Q6" i="4" s="1"/>
  <c r="N27" i="3"/>
  <c r="G13" i="4"/>
  <c r="G28" i="4" s="1"/>
  <c r="Q22" i="4" s="1"/>
  <c r="M25" i="3"/>
  <c r="G27" i="3"/>
  <c r="C4" i="4"/>
  <c r="C19" i="4" s="1"/>
  <c r="P4" i="4" s="1"/>
  <c r="C12" i="4"/>
  <c r="C27" i="4" s="1"/>
  <c r="Q5" i="4" s="1"/>
  <c r="F11" i="4"/>
  <c r="F26" i="4" s="1"/>
  <c r="Q16" i="4" s="1"/>
  <c r="C11" i="4"/>
  <c r="C26" i="4" s="1"/>
  <c r="Q4" i="4" s="1"/>
  <c r="N25" i="3"/>
  <c r="F4" i="4"/>
  <c r="F19" i="4" s="1"/>
  <c r="P16" i="4" s="1"/>
  <c r="J11" i="4"/>
  <c r="J26" i="4" s="1"/>
  <c r="Q32" i="4" s="1"/>
  <c r="F13" i="4"/>
  <c r="F28" i="4" s="1"/>
  <c r="Q18" i="4" s="1"/>
  <c r="F27" i="3"/>
  <c r="J4" i="4"/>
  <c r="J19" i="4" s="1"/>
  <c r="P32" i="4" s="1"/>
  <c r="C5" i="4"/>
  <c r="C20" i="4" s="1"/>
  <c r="P5" i="4" s="1"/>
  <c r="M26" i="3"/>
  <c r="C27" i="3"/>
  <c r="M27" i="3"/>
  <c r="G4" i="4"/>
  <c r="G19" i="4" s="1"/>
  <c r="P20" i="4" s="1"/>
  <c r="X8" i="5"/>
  <c r="AA8" i="5" s="1"/>
  <c r="AA6" i="5"/>
  <c r="AV6" i="5"/>
  <c r="AA7" i="5"/>
  <c r="AA16" i="5"/>
  <c r="AV4" i="5"/>
  <c r="AV12" i="5" s="1"/>
  <c r="AA12" i="5"/>
  <c r="AA4" i="5"/>
  <c r="AV16" i="5"/>
  <c r="AV2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araya jimenez</author>
    <author>None</author>
  </authors>
  <commentList>
    <comment ref="A2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rodrigo araya jimenez:
Se observan los mismos costos para ambas bodegas</t>
        </r>
      </text>
    </comment>
    <comment ref="Q3" authorId="1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Porque multiplican los 3? hara falta corregir estos costos de Euros a centavos de Euros?
	-RODRIGO ALFREDO ARAYA JIMENEZ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araya jimenez</author>
    <author>None</author>
  </authors>
  <commentList>
    <comment ref="A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rodrigo araya jimenez:
Se observan los mismos costos para ambas bodegas</t>
        </r>
      </text>
    </comment>
    <comment ref="Q3" authorId="1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Porque multiplican los 3? hara falta corregir estos costos de Euros a centavos de Euros?
	-RODRIGO ALFREDO ARAYA JIMENEZ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araya jimenez</author>
  </authors>
  <commentList>
    <comment ref="L2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rodrigo araya jimenez:
varia en el tiempo solo en funcion de su crecimiento</t>
        </r>
      </text>
    </comment>
  </commentList>
</comments>
</file>

<file path=xl/sharedStrings.xml><?xml version="1.0" encoding="utf-8"?>
<sst xmlns="http://schemas.openxmlformats.org/spreadsheetml/2006/main" count="1783" uniqueCount="1500">
  <si>
    <t>costo de ordenar a las fabricas</t>
  </si>
  <si>
    <t>costo de fabricar</t>
  </si>
  <si>
    <t>capacidad productiva</t>
  </si>
  <si>
    <t>costo transporte F-B</t>
  </si>
  <si>
    <t>costo de despacho B-C</t>
  </si>
  <si>
    <t>demanda</t>
  </si>
  <si>
    <t>costo almacenaje</t>
  </si>
  <si>
    <t>inventario inicial</t>
  </si>
  <si>
    <t>Capacidad de camion</t>
  </si>
  <si>
    <t>Costo fijo camion</t>
  </si>
  <si>
    <t>Producto [i]</t>
  </si>
  <si>
    <t>Fabrica [f]</t>
  </si>
  <si>
    <t>Bodega [j]</t>
  </si>
  <si>
    <t>CO[i, f, j]</t>
  </si>
  <si>
    <t>CF[f, i]</t>
  </si>
  <si>
    <t>LO[f, i]</t>
  </si>
  <si>
    <t>CT[f, i, j]</t>
  </si>
  <si>
    <t>Cliente [c]</t>
  </si>
  <si>
    <t>CD[i, c, j]</t>
  </si>
  <si>
    <t>Tiempo [t]</t>
  </si>
  <si>
    <t>D[i, c, t]</t>
  </si>
  <si>
    <t>CA[i, j]</t>
  </si>
  <si>
    <t>Inv[i, j]</t>
  </si>
  <si>
    <t>CC[i]</t>
  </si>
  <si>
    <t>Tabla de promedios de despachos desde bodega 1</t>
  </si>
  <si>
    <t>Tabla de promedio de reposiciones hacia bodega 1</t>
  </si>
  <si>
    <t>Producto/Clientes</t>
  </si>
  <si>
    <t>C1</t>
  </si>
  <si>
    <t>C2</t>
  </si>
  <si>
    <t>C3</t>
  </si>
  <si>
    <t>C4</t>
  </si>
  <si>
    <t>C5</t>
  </si>
  <si>
    <t>C6</t>
  </si>
  <si>
    <t>C7</t>
  </si>
  <si>
    <t>C8</t>
  </si>
  <si>
    <t>Fabricas/Productos</t>
  </si>
  <si>
    <t>P1</t>
  </si>
  <si>
    <t>P2</t>
  </si>
  <si>
    <t>P3</t>
  </si>
  <si>
    <t>P4</t>
  </si>
  <si>
    <t>F1</t>
  </si>
  <si>
    <t>F2</t>
  </si>
  <si>
    <t>F3</t>
  </si>
  <si>
    <t>F4</t>
  </si>
  <si>
    <t>Tabla de promedios de despachos desde bodega 2</t>
  </si>
  <si>
    <t>Tabla de promedio de reposiciones hacia bodega 2</t>
  </si>
  <si>
    <t>Tabla de Up to level</t>
  </si>
  <si>
    <t>Tabla de costos</t>
  </si>
  <si>
    <t>Producto/ Bodega</t>
  </si>
  <si>
    <t>B1</t>
  </si>
  <si>
    <t>B2</t>
  </si>
  <si>
    <t>Costo Total</t>
  </si>
  <si>
    <t>Costo Almacenamiento</t>
  </si>
  <si>
    <t>Costo Fabrica-Bodega</t>
  </si>
  <si>
    <t>Costo Bodega-Cliente</t>
  </si>
  <si>
    <t>Tabla de tasa utilizacion de las bodegas</t>
  </si>
  <si>
    <t>Tabla de utilizacion de las bodegas por cliente</t>
  </si>
  <si>
    <t>Producto/Bodega</t>
  </si>
  <si>
    <t>Bodega/Cliente</t>
  </si>
  <si>
    <t>Tabla porcentual para ajuste de demanda bodega 1</t>
  </si>
  <si>
    <t>demanda original</t>
  </si>
  <si>
    <t>demanda ajustada</t>
  </si>
  <si>
    <t>Ajuste para bodega 1</t>
  </si>
  <si>
    <t>Ajuste para bodega 2</t>
  </si>
  <si>
    <t>0.2 * WEIB(4124.6, 2.79) / 30</t>
  </si>
  <si>
    <t>0.2*WEIB(2886.8,3.68)/30</t>
  </si>
  <si>
    <t>0.1*JOHN(-0.42,0.87,7133.7,-314.13)/30</t>
  </si>
  <si>
    <t>0.1*TRIA(1000,1300,7000)/30</t>
  </si>
  <si>
    <t>0.1*WEIB(4124.6,2.79)/30</t>
  </si>
  <si>
    <t>Tabla porcentual para ajuste de demanda bodega 2</t>
  </si>
  <si>
    <t>0.3*JOHN(-0.42,0.87,7133.7,-314.13)/30</t>
  </si>
  <si>
    <t>0.2*TRIA(1000,1300,7000)/30</t>
  </si>
  <si>
    <t>0.2*WEIB(4124.6,2.79)/30</t>
  </si>
  <si>
    <t>0.0</t>
  </si>
  <si>
    <t>0.2*JOHN(-0.42,0.87,7133.7,-314.13)/30</t>
  </si>
  <si>
    <t>0.1*WEIB(2886.8,3.68)/30</t>
  </si>
  <si>
    <t>0.15*JOHN(-0.42,0.87,7133.7,-314.13)/30</t>
  </si>
  <si>
    <t>Variable</t>
  </si>
  <si>
    <t>Valor</t>
  </si>
  <si>
    <t>f (fabrica)</t>
  </si>
  <si>
    <t>i (producto)</t>
  </si>
  <si>
    <t>j (bodega)</t>
  </si>
  <si>
    <t>t (periodo)</t>
  </si>
  <si>
    <t>r (ordenado)</t>
  </si>
  <si>
    <t>c (cliente)</t>
  </si>
  <si>
    <t>s(despachar)</t>
  </si>
  <si>
    <t>q(1, 1, 1)</t>
  </si>
  <si>
    <t>Numero de reposiciones de bodega 1, según producto y fabrica</t>
  </si>
  <si>
    <t>Unidades repuestas de bodega 1, según producto y fabrica</t>
  </si>
  <si>
    <t>Numero de despachos de bodega 1, según producto y cliente</t>
  </si>
  <si>
    <t>Unidades despachadas de bodega 1, según producto y fabrica</t>
  </si>
  <si>
    <t>q(1, 1, 2)</t>
  </si>
  <si>
    <t>Fabrica/Producto</t>
  </si>
  <si>
    <t>Total</t>
  </si>
  <si>
    <t>Producto/Cliente</t>
  </si>
  <si>
    <t>q(1, 1, 3)</t>
  </si>
  <si>
    <t>q(1, 1, 4)</t>
  </si>
  <si>
    <t>q(1, 1, 5)</t>
  </si>
  <si>
    <t>q(1, 1, 6)</t>
  </si>
  <si>
    <t>q(1, 1, 7)</t>
  </si>
  <si>
    <t>q(1, 1, 8)</t>
  </si>
  <si>
    <t>q(1, 1, 9)</t>
  </si>
  <si>
    <t>Numero de reposiciones de bodega 2, según producto y fabrica</t>
  </si>
  <si>
    <t>Unidades repuestas de bodega 2, según producto y fabrica</t>
  </si>
  <si>
    <t>q(1, 1, 10)</t>
  </si>
  <si>
    <t>q(1, 1, 11)</t>
  </si>
  <si>
    <t>q(1, 1, 12)</t>
  </si>
  <si>
    <t>q(1, 2, 1)</t>
  </si>
  <si>
    <t>Numero de despachos de bodega 2, según producto y cliente</t>
  </si>
  <si>
    <t>Unidades despachadas de bodega 2, según producto y fabrica</t>
  </si>
  <si>
    <t>q(1, 2, 2)</t>
  </si>
  <si>
    <t>q(1, 2, 3)</t>
  </si>
  <si>
    <t>q(1, 2, 4)</t>
  </si>
  <si>
    <t>q(1, 2, 5)</t>
  </si>
  <si>
    <t>q(1, 2, 6)</t>
  </si>
  <si>
    <t>q(1, 2, 7)</t>
  </si>
  <si>
    <t>q(1, 2, 8)</t>
  </si>
  <si>
    <t>q(1, 2, 9)</t>
  </si>
  <si>
    <t>q(1, 2, 10)</t>
  </si>
  <si>
    <t>q(1, 2, 11)</t>
  </si>
  <si>
    <t>q(1, 2, 12)</t>
  </si>
  <si>
    <t>q(2, 1, 1)</t>
  </si>
  <si>
    <t>q(2, 1, 2)</t>
  </si>
  <si>
    <t>q(2, 1, 3)</t>
  </si>
  <si>
    <t>q(2, 1, 4)</t>
  </si>
  <si>
    <t>q(2, 1, 5)</t>
  </si>
  <si>
    <t>q(2, 1, 6)</t>
  </si>
  <si>
    <t>q(2, 1, 7)</t>
  </si>
  <si>
    <t>q(2, 1, 8)</t>
  </si>
  <si>
    <t>q(2, 1, 9)</t>
  </si>
  <si>
    <t>q(2, 1, 10)</t>
  </si>
  <si>
    <t>q(2, 1, 11)</t>
  </si>
  <si>
    <t>q(2, 1, 12)</t>
  </si>
  <si>
    <t>q(2, 2, 1)</t>
  </si>
  <si>
    <t>q(2, 2, 2)</t>
  </si>
  <si>
    <t>q(2, 2, 3)</t>
  </si>
  <si>
    <t>q(2, 2, 4)</t>
  </si>
  <si>
    <t>q(2, 2, 5)</t>
  </si>
  <si>
    <t>q(2, 2, 6)</t>
  </si>
  <si>
    <t>q(2, 2, 7)</t>
  </si>
  <si>
    <t>q(2, 2, 8)</t>
  </si>
  <si>
    <t>q(2, 2, 9)</t>
  </si>
  <si>
    <t>q(2, 2, 10)</t>
  </si>
  <si>
    <t>q(2, 2, 11)</t>
  </si>
  <si>
    <t>q(2, 2, 12)</t>
  </si>
  <si>
    <t>q(3, 1, 1)</t>
  </si>
  <si>
    <t>q(3, 1, 2)</t>
  </si>
  <si>
    <t>q(3, 1, 3)</t>
  </si>
  <si>
    <t>q(3, 1, 4)</t>
  </si>
  <si>
    <t>q(3, 1, 5)</t>
  </si>
  <si>
    <t>q(3, 1, 6)</t>
  </si>
  <si>
    <t>q(3, 1, 7)</t>
  </si>
  <si>
    <t>q(3, 1, 8)</t>
  </si>
  <si>
    <t>q(3, 1, 9)</t>
  </si>
  <si>
    <t>q(3, 1, 10)</t>
  </si>
  <si>
    <t>q(3, 1, 11)</t>
  </si>
  <si>
    <t>q(3, 1, 12)</t>
  </si>
  <si>
    <t>q(3, 2, 1)</t>
  </si>
  <si>
    <t>q(3, 2, 2)</t>
  </si>
  <si>
    <t>q(3, 2, 3)</t>
  </si>
  <si>
    <t>q(3, 2, 4)</t>
  </si>
  <si>
    <t>q(3, 2, 5)</t>
  </si>
  <si>
    <t>q(3, 2, 6)</t>
  </si>
  <si>
    <t>q(3, 2, 7)</t>
  </si>
  <si>
    <t>q(3, 2, 8)</t>
  </si>
  <si>
    <t>q(3, 2, 9)</t>
  </si>
  <si>
    <t>q(3, 2, 10)</t>
  </si>
  <si>
    <t>q(3, 2, 11)</t>
  </si>
  <si>
    <t>q(3, 2, 12)</t>
  </si>
  <si>
    <t>q(4, 1, 1)</t>
  </si>
  <si>
    <t>q(4, 1, 2)</t>
  </si>
  <si>
    <t>q(4, 1, 3)</t>
  </si>
  <si>
    <t>q(4, 1, 4)</t>
  </si>
  <si>
    <t>q(4, 1, 5)</t>
  </si>
  <si>
    <t>q(4, 1, 6)</t>
  </si>
  <si>
    <t>q(4, 1, 7)</t>
  </si>
  <si>
    <t>q(4, 1, 8)</t>
  </si>
  <si>
    <t>q(4, 1, 9)</t>
  </si>
  <si>
    <t>q(4, 1, 10)</t>
  </si>
  <si>
    <t>q(4, 1, 11)</t>
  </si>
  <si>
    <t>q(4, 1, 12)</t>
  </si>
  <si>
    <t>q(4, 2, 1)</t>
  </si>
  <si>
    <t>q(4, 2, 2)</t>
  </si>
  <si>
    <t>q(4, 2, 3)</t>
  </si>
  <si>
    <t>q(4, 2, 4)</t>
  </si>
  <si>
    <t>q(4, 2, 5)</t>
  </si>
  <si>
    <t>q(4, 2, 6)</t>
  </si>
  <si>
    <t>q(4, 2, 7)</t>
  </si>
  <si>
    <t>q(4, 2, 8)</t>
  </si>
  <si>
    <t>q(4, 2, 9)</t>
  </si>
  <si>
    <t>q(4, 2, 10)</t>
  </si>
  <si>
    <t>q(4, 2, 11)</t>
  </si>
  <si>
    <t>q(4, 2, 12)</t>
  </si>
  <si>
    <t>z(4, 1, 2)</t>
  </si>
  <si>
    <t>z(4, 1, 3)</t>
  </si>
  <si>
    <t>z(4, 1, 4)</t>
  </si>
  <si>
    <t>z(4, 1, 5)</t>
  </si>
  <si>
    <t>z(4, 1, 6)</t>
  </si>
  <si>
    <t>z(4, 1, 7)</t>
  </si>
  <si>
    <t>z(4, 1, 8)</t>
  </si>
  <si>
    <t>z(4, 1, 9)</t>
  </si>
  <si>
    <t>z(4, 1, 10)</t>
  </si>
  <si>
    <t>z(4, 1, 11)</t>
  </si>
  <si>
    <t>z(4, 1, 12)</t>
  </si>
  <si>
    <t>z(4, 2, 0)</t>
  </si>
  <si>
    <t>z(4, 2, 1)</t>
  </si>
  <si>
    <t>z(4, 2, 2)</t>
  </si>
  <si>
    <t>z(4, 2, 3)</t>
  </si>
  <si>
    <t>z(4, 2, 4)</t>
  </si>
  <si>
    <t>z(4, 2, 5)</t>
  </si>
  <si>
    <t>z(4, 2, 6)</t>
  </si>
  <si>
    <t>z(4, 2, 7)</t>
  </si>
  <si>
    <t>z(4, 2, 8)</t>
  </si>
  <si>
    <t>z(4, 2, 9)</t>
  </si>
  <si>
    <t>z(4, 2, 10)</t>
  </si>
  <si>
    <t>z(4, 2, 11)</t>
  </si>
  <si>
    <t>z(4, 2, 12)</t>
  </si>
  <si>
    <t>w(1, 1, 1, 1)</t>
  </si>
  <si>
    <t>w(1, 1, 1, 2)</t>
  </si>
  <si>
    <t>w(1, 1, 1, 3)</t>
  </si>
  <si>
    <t>w(1, 1, 1, 4)</t>
  </si>
  <si>
    <t>w(1, 1, 1, 5)</t>
  </si>
  <si>
    <t>w(1, 1, 1, 6)</t>
  </si>
  <si>
    <t>w(1, 1, 1, 7)</t>
  </si>
  <si>
    <t>w(1, 1, 1, 8)</t>
  </si>
  <si>
    <t>w(1, 1, 1, 9)</t>
  </si>
  <si>
    <t>w(1, 1, 1, 10)</t>
  </si>
  <si>
    <t>w(1, 1, 1, 11)</t>
  </si>
  <si>
    <t>w(1, 1, 1, 12)</t>
  </si>
  <si>
    <t>w(1, 1, 2, 1)</t>
  </si>
  <si>
    <t>w(1, 1, 2, 2)</t>
  </si>
  <si>
    <t>w(1, 1, 2, 3)</t>
  </si>
  <si>
    <t>w(1, 1, 2, 4)</t>
  </si>
  <si>
    <t>w(1, 1, 2, 5)</t>
  </si>
  <si>
    <t>w(1, 1, 2, 6)</t>
  </si>
  <si>
    <t>w(1, 1, 2, 7)</t>
  </si>
  <si>
    <t>w(1, 1, 2, 8)</t>
  </si>
  <si>
    <t>w(1, 1, 2, 9)</t>
  </si>
  <si>
    <t>w(1, 1, 2, 10)</t>
  </si>
  <si>
    <t>w(1, 1, 2, 11)</t>
  </si>
  <si>
    <t>w(1, 1, 2, 12)</t>
  </si>
  <si>
    <t>w(1, 1, 3, 1)</t>
  </si>
  <si>
    <t>w(1, 1, 3, 2)</t>
  </si>
  <si>
    <t>w(1, 1, 3, 3)</t>
  </si>
  <si>
    <t>w(1, 1, 3, 4)</t>
  </si>
  <si>
    <t>w(1, 1, 3, 5)</t>
  </si>
  <si>
    <t>w(1, 1, 3, 6)</t>
  </si>
  <si>
    <t>w(1, 1, 3, 7)</t>
  </si>
  <si>
    <t>w(1, 1, 3, 8)</t>
  </si>
  <si>
    <t>w(1, 1, 3, 9)</t>
  </si>
  <si>
    <t>w(1, 1, 3, 10)</t>
  </si>
  <si>
    <t>w(1, 1, 3, 11)</t>
  </si>
  <si>
    <t>w(1, 1, 3, 12)</t>
  </si>
  <si>
    <t>w(1, 1, 4, 1)</t>
  </si>
  <si>
    <t>w(1, 1, 4, 2)</t>
  </si>
  <si>
    <t>w(1, 1, 4, 3)</t>
  </si>
  <si>
    <t>w(1, 1, 4, 4)</t>
  </si>
  <si>
    <t>w(1, 1, 4, 5)</t>
  </si>
  <si>
    <t>w(1, 1, 4, 6)</t>
  </si>
  <si>
    <t>w(1, 1, 4, 7)</t>
  </si>
  <si>
    <t>w(1, 1, 4, 8)</t>
  </si>
  <si>
    <t>w(1, 1, 4, 9)</t>
  </si>
  <si>
    <t>w(1, 1, 4, 10)</t>
  </si>
  <si>
    <t>w(1, 1, 4, 11)</t>
  </si>
  <si>
    <t>w(1, 1, 4, 12)</t>
  </si>
  <si>
    <t>w(1, 1, 5, 1)</t>
  </si>
  <si>
    <t>w(1, 1, 5, 2)</t>
  </si>
  <si>
    <t>w(1, 1, 5, 3)</t>
  </si>
  <si>
    <t>w(1, 1, 5, 4)</t>
  </si>
  <si>
    <t>w(1, 1, 5, 5)</t>
  </si>
  <si>
    <t>w(1, 1, 5, 6)</t>
  </si>
  <si>
    <t>w(1, 1, 5, 7)</t>
  </si>
  <si>
    <t>w(1, 1, 5, 8)</t>
  </si>
  <si>
    <t>w(1, 1, 5, 9)</t>
  </si>
  <si>
    <t>w(1, 1, 5, 10)</t>
  </si>
  <si>
    <t>w(1, 1, 5, 11)</t>
  </si>
  <si>
    <t>w(1, 1, 5, 12)</t>
  </si>
  <si>
    <t>w(1, 1, 6, 1)</t>
  </si>
  <si>
    <t>w(1, 1, 6, 2)</t>
  </si>
  <si>
    <t>w(1, 1, 6, 3)</t>
  </si>
  <si>
    <t>w(1, 1, 6, 4)</t>
  </si>
  <si>
    <t>w(1, 1, 6, 5)</t>
  </si>
  <si>
    <t>w(1, 1, 6, 6)</t>
  </si>
  <si>
    <t>w(1, 1, 6, 7)</t>
  </si>
  <si>
    <t>w(1, 1, 6, 8)</t>
  </si>
  <si>
    <t>w(1, 1, 6, 9)</t>
  </si>
  <si>
    <t>w(1, 1, 6, 10)</t>
  </si>
  <si>
    <t>w(1, 1, 6, 11)</t>
  </si>
  <si>
    <t>w(1, 1, 6, 12)</t>
  </si>
  <si>
    <t>w(1, 1, 7, 1)</t>
  </si>
  <si>
    <t>w(1, 1, 7, 2)</t>
  </si>
  <si>
    <t>w(1, 1, 7, 3)</t>
  </si>
  <si>
    <t>w(1, 1, 7, 4)</t>
  </si>
  <si>
    <t>w(1, 1, 7, 5)</t>
  </si>
  <si>
    <t>w(1, 1, 7, 6)</t>
  </si>
  <si>
    <t>w(1, 1, 7, 7)</t>
  </si>
  <si>
    <t>w(1, 1, 7, 8)</t>
  </si>
  <si>
    <t>w(1, 1, 7, 9)</t>
  </si>
  <si>
    <t>w(1, 1, 7, 10)</t>
  </si>
  <si>
    <t>w(1, 1, 7, 11)</t>
  </si>
  <si>
    <t>w(1, 1, 7, 12)</t>
  </si>
  <si>
    <t>w(1, 1, 8, 1)</t>
  </si>
  <si>
    <t>w(1, 1, 8, 2)</t>
  </si>
  <si>
    <t>w(1, 1, 8, 3)</t>
  </si>
  <si>
    <t>w(1, 1, 8, 4)</t>
  </si>
  <si>
    <t>w(1, 1, 8, 5)</t>
  </si>
  <si>
    <t>w(1, 1, 8, 6)</t>
  </si>
  <si>
    <t>w(1, 1, 8, 7)</t>
  </si>
  <si>
    <t>w(1, 1, 8, 8)</t>
  </si>
  <si>
    <t>w(1, 1, 8, 9)</t>
  </si>
  <si>
    <t>w(1, 1, 8, 10)</t>
  </si>
  <si>
    <t>w(1, 1, 8, 11)</t>
  </si>
  <si>
    <t>w(1, 1, 8, 12)</t>
  </si>
  <si>
    <t>w(1, 2, 1, 1)</t>
  </si>
  <si>
    <t>w(1, 2, 1, 2)</t>
  </si>
  <si>
    <t>w(1, 2, 1, 3)</t>
  </si>
  <si>
    <t>w(1, 2, 1, 4)</t>
  </si>
  <si>
    <t>w(1, 2, 1, 5)</t>
  </si>
  <si>
    <t>w(1, 2, 1, 6)</t>
  </si>
  <si>
    <t>w(1, 2, 1, 7)</t>
  </si>
  <si>
    <t>w(1, 2, 1, 8)</t>
  </si>
  <si>
    <t>w(1, 2, 1, 9)</t>
  </si>
  <si>
    <t>w(1, 2, 1, 10)</t>
  </si>
  <si>
    <t>w(1, 2, 1, 11)</t>
  </si>
  <si>
    <t>w(1, 2, 1, 12)</t>
  </si>
  <si>
    <t>w(1, 2, 2, 1)</t>
  </si>
  <si>
    <t>w(1, 2, 2, 2)</t>
  </si>
  <si>
    <t>w(1, 2, 2, 3)</t>
  </si>
  <si>
    <t>w(1, 2, 2, 4)</t>
  </si>
  <si>
    <t>w(1, 2, 2, 5)</t>
  </si>
  <si>
    <t>w(1, 2, 2, 6)</t>
  </si>
  <si>
    <t>w(1, 2, 2, 7)</t>
  </si>
  <si>
    <t>w(1, 2, 2, 8)</t>
  </si>
  <si>
    <t>w(1, 2, 2, 9)</t>
  </si>
  <si>
    <t>w(1, 2, 2, 10)</t>
  </si>
  <si>
    <t>w(1, 2, 2, 11)</t>
  </si>
  <si>
    <t>w(1, 2, 2, 12)</t>
  </si>
  <si>
    <t>w(1, 2, 3, 1)</t>
  </si>
  <si>
    <t>w(1, 2, 3, 2)</t>
  </si>
  <si>
    <t>w(1, 2, 3, 3)</t>
  </si>
  <si>
    <t>w(1, 2, 3, 4)</t>
  </si>
  <si>
    <t>w(1, 2, 3, 5)</t>
  </si>
  <si>
    <t>w(1, 2, 3, 6)</t>
  </si>
  <si>
    <t>w(1, 2, 3, 7)</t>
  </si>
  <si>
    <t>w(1, 2, 3, 8)</t>
  </si>
  <si>
    <t>w(1, 2, 3, 9)</t>
  </si>
  <si>
    <t>w(1, 2, 3, 10)</t>
  </si>
  <si>
    <t>w(1, 2, 3, 11)</t>
  </si>
  <si>
    <t>w(1, 2, 3, 12)</t>
  </si>
  <si>
    <t>w(1, 2, 4, 1)</t>
  </si>
  <si>
    <t>w(1, 2, 4, 2)</t>
  </si>
  <si>
    <t>w(1, 2, 4, 3)</t>
  </si>
  <si>
    <t>w(1, 2, 4, 4)</t>
  </si>
  <si>
    <t>w(1, 2, 4, 5)</t>
  </si>
  <si>
    <t>w(1, 2, 4, 6)</t>
  </si>
  <si>
    <t>w(1, 2, 4, 7)</t>
  </si>
  <si>
    <t>w(1, 2, 4, 8)</t>
  </si>
  <si>
    <t>w(1, 2, 4, 9)</t>
  </si>
  <si>
    <t>w(1, 2, 4, 10)</t>
  </si>
  <si>
    <t>w(1, 2, 4, 11)</t>
  </si>
  <si>
    <t>w(1, 2, 4, 12)</t>
  </si>
  <si>
    <t>w(1, 2, 5, 1)</t>
  </si>
  <si>
    <t>w(1, 2, 5, 2)</t>
  </si>
  <si>
    <t>w(1, 2, 5, 3)</t>
  </si>
  <si>
    <t>w(1, 2, 5, 4)</t>
  </si>
  <si>
    <t>w(1, 2, 5, 5)</t>
  </si>
  <si>
    <t>w(1, 2, 5, 6)</t>
  </si>
  <si>
    <t>w(1, 2, 5, 7)</t>
  </si>
  <si>
    <t>w(1, 2, 5, 8)</t>
  </si>
  <si>
    <t>w(1, 2, 5, 9)</t>
  </si>
  <si>
    <t>w(1, 2, 5, 10)</t>
  </si>
  <si>
    <t>w(1, 2, 5, 11)</t>
  </si>
  <si>
    <t>w(1, 2, 5, 12)</t>
  </si>
  <si>
    <t>w(1, 2, 6, 1)</t>
  </si>
  <si>
    <t>w(1, 2, 6, 2)</t>
  </si>
  <si>
    <t>w(1, 2, 6, 3)</t>
  </si>
  <si>
    <t>w(1, 2, 6, 4)</t>
  </si>
  <si>
    <t>w(1, 2, 6, 5)</t>
  </si>
  <si>
    <t>w(1, 2, 6, 6)</t>
  </si>
  <si>
    <t>w(1, 2, 6, 7)</t>
  </si>
  <si>
    <t>w(1, 2, 6, 8)</t>
  </si>
  <si>
    <t>w(1, 2, 6, 9)</t>
  </si>
  <si>
    <t>w(1, 2, 6, 10)</t>
  </si>
  <si>
    <t>w(1, 2, 6, 11)</t>
  </si>
  <si>
    <t>w(1, 2, 6, 12)</t>
  </si>
  <si>
    <t>w(1, 2, 7, 1)</t>
  </si>
  <si>
    <t>w(1, 2, 7, 2)</t>
  </si>
  <si>
    <t>w(1, 2, 7, 3)</t>
  </si>
  <si>
    <t>w(1, 2, 7, 4)</t>
  </si>
  <si>
    <t>w(1, 2, 7, 5)</t>
  </si>
  <si>
    <t>w(1, 2, 7, 6)</t>
  </si>
  <si>
    <t>w(1, 2, 7, 7)</t>
  </si>
  <si>
    <t>w(1, 2, 7, 8)</t>
  </si>
  <si>
    <t>w(1, 2, 7, 9)</t>
  </si>
  <si>
    <t>w(1, 2, 7, 10)</t>
  </si>
  <si>
    <t>w(1, 2, 7, 11)</t>
  </si>
  <si>
    <t>w(1, 2, 7, 12)</t>
  </si>
  <si>
    <t>w(1, 2, 8, 1)</t>
  </si>
  <si>
    <t>w(1, 2, 8, 2)</t>
  </si>
  <si>
    <t>w(1, 2, 8, 3)</t>
  </si>
  <si>
    <t>w(1, 2, 8, 4)</t>
  </si>
  <si>
    <t>w(1, 2, 8, 5)</t>
  </si>
  <si>
    <t>w(1, 2, 8, 6)</t>
  </si>
  <si>
    <t>w(1, 2, 8, 7)</t>
  </si>
  <si>
    <t>w(1, 2, 8, 8)</t>
  </si>
  <si>
    <t>w(1, 2, 8, 9)</t>
  </si>
  <si>
    <t>w(1, 2, 8, 10)</t>
  </si>
  <si>
    <t>w(1, 2, 8, 11)</t>
  </si>
  <si>
    <t>w(1, 2, 8, 12)</t>
  </si>
  <si>
    <t>w(2, 1, 1, 1)</t>
  </si>
  <si>
    <t>w(2, 1, 1, 2)</t>
  </si>
  <si>
    <t>w(2, 1, 1, 3)</t>
  </si>
  <si>
    <t>w(2, 1, 1, 4)</t>
  </si>
  <si>
    <t>w(2, 1, 1, 5)</t>
  </si>
  <si>
    <t>w(2, 1, 1, 6)</t>
  </si>
  <si>
    <t>w(2, 1, 1, 7)</t>
  </si>
  <si>
    <t>w(2, 1, 1, 8)</t>
  </si>
  <si>
    <t>w(2, 1, 1, 9)</t>
  </si>
  <si>
    <t>w(2, 1, 1, 10)</t>
  </si>
  <si>
    <t>w(2, 1, 1, 11)</t>
  </si>
  <si>
    <t>w(2, 1, 1, 12)</t>
  </si>
  <si>
    <t>w(2, 1, 2, 1)</t>
  </si>
  <si>
    <t>w(2, 1, 2, 2)</t>
  </si>
  <si>
    <t>w(2, 1, 2, 3)</t>
  </si>
  <si>
    <t>w(2, 1, 2, 4)</t>
  </si>
  <si>
    <t>w(2, 1, 2, 5)</t>
  </si>
  <si>
    <t>w(2, 1, 2, 6)</t>
  </si>
  <si>
    <t>w(2, 1, 2, 7)</t>
  </si>
  <si>
    <t>w(2, 1, 2, 8)</t>
  </si>
  <si>
    <t>w(2, 1, 2, 9)</t>
  </si>
  <si>
    <t>w(2, 1, 2, 10)</t>
  </si>
  <si>
    <t>w(2, 1, 2, 11)</t>
  </si>
  <si>
    <t>w(2, 1, 2, 12)</t>
  </si>
  <si>
    <t>w(2, 1, 3, 1)</t>
  </si>
  <si>
    <t>w(2, 1, 3, 2)</t>
  </si>
  <si>
    <t>w(2, 1, 3, 3)</t>
  </si>
  <si>
    <t>w(2, 1, 3, 4)</t>
  </si>
  <si>
    <t>w(2, 1, 3, 5)</t>
  </si>
  <si>
    <t>w(2, 1, 3, 6)</t>
  </si>
  <si>
    <t>w(2, 1, 3, 7)</t>
  </si>
  <si>
    <t>w(2, 1, 3, 8)</t>
  </si>
  <si>
    <t>w(2, 1, 3, 9)</t>
  </si>
  <si>
    <t>w(2, 1, 3, 10)</t>
  </si>
  <si>
    <t>w(2, 1, 3, 11)</t>
  </si>
  <si>
    <t>w(2, 1, 3, 12)</t>
  </si>
  <si>
    <t>w(2, 1, 4, 1)</t>
  </si>
  <si>
    <t>w(2, 1, 4, 2)</t>
  </si>
  <si>
    <t>w(2, 1, 4, 3)</t>
  </si>
  <si>
    <t>w(2, 1, 4, 4)</t>
  </si>
  <si>
    <t>w(2, 1, 4, 5)</t>
  </si>
  <si>
    <t>w(2, 1, 4, 6)</t>
  </si>
  <si>
    <t>w(2, 1, 4, 7)</t>
  </si>
  <si>
    <t>w(2, 1, 4, 8)</t>
  </si>
  <si>
    <t>w(2, 1, 4, 9)</t>
  </si>
  <si>
    <t>w(2, 1, 4, 10)</t>
  </si>
  <si>
    <t>w(2, 1, 4, 11)</t>
  </si>
  <si>
    <t>w(2, 1, 4, 12)</t>
  </si>
  <si>
    <t>w(2, 1, 5, 1)</t>
  </si>
  <si>
    <t>w(2, 1, 5, 2)</t>
  </si>
  <si>
    <t>w(2, 1, 5, 3)</t>
  </si>
  <si>
    <t>w(2, 1, 5, 4)</t>
  </si>
  <si>
    <t>w(2, 1, 5, 5)</t>
  </si>
  <si>
    <t>w(2, 1, 5, 6)</t>
  </si>
  <si>
    <t>w(2, 1, 5, 7)</t>
  </si>
  <si>
    <t>w(2, 1, 5, 8)</t>
  </si>
  <si>
    <t>w(2, 1, 5, 9)</t>
  </si>
  <si>
    <t>w(2, 1, 5, 10)</t>
  </si>
  <si>
    <t>w(2, 1, 5, 11)</t>
  </si>
  <si>
    <t>w(2, 1, 5, 12)</t>
  </si>
  <si>
    <t>w(2, 1, 6, 1)</t>
  </si>
  <si>
    <t>w(2, 1, 6, 2)</t>
  </si>
  <si>
    <t>w(2, 1, 6, 3)</t>
  </si>
  <si>
    <t>w(2, 1, 6, 4)</t>
  </si>
  <si>
    <t>w(2, 1, 6, 5)</t>
  </si>
  <si>
    <t>w(2, 1, 6, 6)</t>
  </si>
  <si>
    <t>w(2, 1, 6, 7)</t>
  </si>
  <si>
    <t>w(2, 1, 6, 8)</t>
  </si>
  <si>
    <t>w(2, 1, 6, 9)</t>
  </si>
  <si>
    <t>w(2, 1, 6, 10)</t>
  </si>
  <si>
    <t>w(2, 1, 6, 11)</t>
  </si>
  <si>
    <t>w(2, 1, 6, 12)</t>
  </si>
  <si>
    <t>w(2, 1, 7, 1)</t>
  </si>
  <si>
    <t>w(2, 1, 7, 2)</t>
  </si>
  <si>
    <t>w(2, 1, 7, 3)</t>
  </si>
  <si>
    <t>w(2, 1, 7, 4)</t>
  </si>
  <si>
    <t>w(2, 1, 7, 5)</t>
  </si>
  <si>
    <t>w(2, 1, 7, 6)</t>
  </si>
  <si>
    <t>w(2, 1, 7, 7)</t>
  </si>
  <si>
    <t>w(2, 1, 7, 8)</t>
  </si>
  <si>
    <t>w(2, 1, 7, 9)</t>
  </si>
  <si>
    <t>w(2, 1, 7, 10)</t>
  </si>
  <si>
    <t>w(2, 1, 7, 11)</t>
  </si>
  <si>
    <t>w(2, 1, 7, 12)</t>
  </si>
  <si>
    <t>w(2, 1, 8, 1)</t>
  </si>
  <si>
    <t>w(2, 1, 8, 2)</t>
  </si>
  <si>
    <t>w(2, 1, 8, 3)</t>
  </si>
  <si>
    <t>w(2, 1, 8, 4)</t>
  </si>
  <si>
    <t>w(2, 1, 8, 5)</t>
  </si>
  <si>
    <t>w(2, 1, 8, 6)</t>
  </si>
  <si>
    <t>w(2, 1, 8, 7)</t>
  </si>
  <si>
    <t>w(2, 1, 8, 8)</t>
  </si>
  <si>
    <t>w(2, 1, 8, 9)</t>
  </si>
  <si>
    <t>w(2, 1, 8, 10)</t>
  </si>
  <si>
    <t>w(2, 1, 8, 11)</t>
  </si>
  <si>
    <t>w(2, 1, 8, 12)</t>
  </si>
  <si>
    <t>w(2, 2, 1, 1)</t>
  </si>
  <si>
    <t>w(2, 2, 1, 2)</t>
  </si>
  <si>
    <t>w(2, 2, 1, 3)</t>
  </si>
  <si>
    <t>w(2, 2, 1, 4)</t>
  </si>
  <si>
    <t>w(2, 2, 1, 5)</t>
  </si>
  <si>
    <t>w(2, 2, 1, 6)</t>
  </si>
  <si>
    <t>w(2, 2, 1, 7)</t>
  </si>
  <si>
    <t>w(2, 2, 1, 8)</t>
  </si>
  <si>
    <t>w(2, 2, 1, 9)</t>
  </si>
  <si>
    <t>w(2, 2, 1, 10)</t>
  </si>
  <si>
    <t>w(2, 2, 1, 11)</t>
  </si>
  <si>
    <t>w(2, 2, 1, 12)</t>
  </si>
  <si>
    <t>w(2, 2, 2, 1)</t>
  </si>
  <si>
    <t>w(2, 2, 2, 2)</t>
  </si>
  <si>
    <t>w(2, 2, 2, 3)</t>
  </si>
  <si>
    <t>w(2, 2, 2, 4)</t>
  </si>
  <si>
    <t>w(2, 2, 2, 5)</t>
  </si>
  <si>
    <t>w(2, 2, 2, 6)</t>
  </si>
  <si>
    <t>w(2, 2, 2, 7)</t>
  </si>
  <si>
    <t>w(2, 2, 2, 8)</t>
  </si>
  <si>
    <t>w(2, 2, 2, 9)</t>
  </si>
  <si>
    <t>w(2, 2, 2, 10)</t>
  </si>
  <si>
    <t>w(2, 2, 2, 11)</t>
  </si>
  <si>
    <t>w(2, 2, 2, 12)</t>
  </si>
  <si>
    <t>w(2, 2, 3, 1)</t>
  </si>
  <si>
    <t>w(2, 2, 3, 2)</t>
  </si>
  <si>
    <t>w(2, 2, 3, 3)</t>
  </si>
  <si>
    <t>w(2, 2, 3, 4)</t>
  </si>
  <si>
    <t>w(2, 2, 3, 5)</t>
  </si>
  <si>
    <t>w(2, 2, 3, 6)</t>
  </si>
  <si>
    <t>w(2, 2, 3, 7)</t>
  </si>
  <si>
    <t>w(2, 2, 3, 8)</t>
  </si>
  <si>
    <t>w(2, 2, 3, 9)</t>
  </si>
  <si>
    <t>w(2, 2, 3, 10)</t>
  </si>
  <si>
    <t>w(2, 2, 3, 11)</t>
  </si>
  <si>
    <t>w(2, 2, 3, 12)</t>
  </si>
  <si>
    <t>w(2, 2, 4, 1)</t>
  </si>
  <si>
    <t>w(2, 2, 4, 2)</t>
  </si>
  <si>
    <t>w(2, 2, 4, 3)</t>
  </si>
  <si>
    <t>w(2, 2, 4, 4)</t>
  </si>
  <si>
    <t>w(2, 2, 4, 5)</t>
  </si>
  <si>
    <t>w(2, 2, 4, 6)</t>
  </si>
  <si>
    <t>w(2, 2, 4, 7)</t>
  </si>
  <si>
    <t>w(2, 2, 4, 8)</t>
  </si>
  <si>
    <t>w(2, 2, 4, 9)</t>
  </si>
  <si>
    <t>w(2, 2, 4, 10)</t>
  </si>
  <si>
    <t>w(2, 2, 4, 11)</t>
  </si>
  <si>
    <t>w(2, 2, 4, 12)</t>
  </si>
  <si>
    <t>w(2, 2, 5, 1)</t>
  </si>
  <si>
    <t>w(2, 2, 5, 2)</t>
  </si>
  <si>
    <t>w(2, 2, 5, 3)</t>
  </si>
  <si>
    <t>w(2, 2, 5, 4)</t>
  </si>
  <si>
    <t>w(2, 2, 5, 5)</t>
  </si>
  <si>
    <t>w(2, 2, 5, 6)</t>
  </si>
  <si>
    <t>w(2, 2, 5, 7)</t>
  </si>
  <si>
    <t>w(2, 2, 5, 8)</t>
  </si>
  <si>
    <t>w(2, 2, 5, 9)</t>
  </si>
  <si>
    <t>w(2, 2, 5, 10)</t>
  </si>
  <si>
    <t>w(2, 2, 5, 11)</t>
  </si>
  <si>
    <t>w(2, 2, 5, 12)</t>
  </si>
  <si>
    <t>w(2, 2, 6, 1)</t>
  </si>
  <si>
    <t>w(2, 2, 6, 2)</t>
  </si>
  <si>
    <t>w(2, 2, 6, 3)</t>
  </si>
  <si>
    <t>w(2, 2, 6, 4)</t>
  </si>
  <si>
    <t>w(2, 2, 6, 5)</t>
  </si>
  <si>
    <t>w(2, 2, 6, 6)</t>
  </si>
  <si>
    <t>w(2, 2, 6, 7)</t>
  </si>
  <si>
    <t>w(2, 2, 6, 8)</t>
  </si>
  <si>
    <t>w(2, 2, 6, 9)</t>
  </si>
  <si>
    <t>w(2, 2, 6, 10)</t>
  </si>
  <si>
    <t>w(2, 2, 6, 11)</t>
  </si>
  <si>
    <t>w(2, 2, 6, 12)</t>
  </si>
  <si>
    <t>w(2, 2, 7, 1)</t>
  </si>
  <si>
    <t>w(2, 2, 7, 2)</t>
  </si>
  <si>
    <t>w(2, 2, 7, 3)</t>
  </si>
  <si>
    <t>w(2, 2, 7, 4)</t>
  </si>
  <si>
    <t>w(2, 2, 7, 5)</t>
  </si>
  <si>
    <t>w(2, 2, 7, 6)</t>
  </si>
  <si>
    <t>w(2, 2, 7, 7)</t>
  </si>
  <si>
    <t>w(2, 2, 7, 8)</t>
  </si>
  <si>
    <t>w(2, 2, 7, 9)</t>
  </si>
  <si>
    <t>w(2, 2, 7, 10)</t>
  </si>
  <si>
    <t>w(2, 2, 7, 11)</t>
  </si>
  <si>
    <t>w(2, 2, 7, 12)</t>
  </si>
  <si>
    <t>w(2, 2, 8, 1)</t>
  </si>
  <si>
    <t>w(2, 2, 8, 2)</t>
  </si>
  <si>
    <t>w(2, 2, 8, 3)</t>
  </si>
  <si>
    <t>w(2, 2, 8, 4)</t>
  </si>
  <si>
    <t>w(2, 2, 8, 5)</t>
  </si>
  <si>
    <t>w(2, 2, 8, 6)</t>
  </si>
  <si>
    <t>w(2, 2, 8, 7)</t>
  </si>
  <si>
    <t>w(2, 2, 8, 8)</t>
  </si>
  <si>
    <t>w(2, 2, 8, 9)</t>
  </si>
  <si>
    <t>w(2, 2, 8, 10)</t>
  </si>
  <si>
    <t>w(2, 2, 8, 11)</t>
  </si>
  <si>
    <t>w(2, 2, 8, 12)</t>
  </si>
  <si>
    <t>w(3, 1, 1, 1)</t>
  </si>
  <si>
    <t>w(3, 1, 1, 2)</t>
  </si>
  <si>
    <t>w(3, 1, 1, 3)</t>
  </si>
  <si>
    <t>w(3, 1, 1, 4)</t>
  </si>
  <si>
    <t>w(3, 1, 1, 5)</t>
  </si>
  <si>
    <t>w(3, 1, 1, 6)</t>
  </si>
  <si>
    <t>w(3, 1, 1, 7)</t>
  </si>
  <si>
    <t>w(3, 1, 1, 8)</t>
  </si>
  <si>
    <t>w(3, 1, 1, 9)</t>
  </si>
  <si>
    <t>w(3, 1, 1, 10)</t>
  </si>
  <si>
    <t>w(3, 1, 1, 11)</t>
  </si>
  <si>
    <t>w(3, 1, 1, 12)</t>
  </si>
  <si>
    <t>w(3, 1, 2, 1)</t>
  </si>
  <si>
    <t>w(3, 1, 2, 2)</t>
  </si>
  <si>
    <t>w(3, 1, 2, 3)</t>
  </si>
  <si>
    <t>w(3, 1, 2, 4)</t>
  </si>
  <si>
    <t>w(3, 1, 2, 5)</t>
  </si>
  <si>
    <t>w(3, 1, 2, 6)</t>
  </si>
  <si>
    <t>w(3, 1, 2, 7)</t>
  </si>
  <si>
    <t>w(3, 1, 2, 8)</t>
  </si>
  <si>
    <t>w(3, 1, 2, 9)</t>
  </si>
  <si>
    <t>w(3, 1, 2, 10)</t>
  </si>
  <si>
    <t>w(3, 1, 2, 11)</t>
  </si>
  <si>
    <t>w(3, 1, 2, 12)</t>
  </si>
  <si>
    <t>w(3, 1, 3, 1)</t>
  </si>
  <si>
    <t>w(3, 1, 3, 2)</t>
  </si>
  <si>
    <t>w(3, 1, 3, 3)</t>
  </si>
  <si>
    <t>w(3, 1, 3, 4)</t>
  </si>
  <si>
    <t>w(3, 1, 3, 5)</t>
  </si>
  <si>
    <t>w(3, 1, 3, 6)</t>
  </si>
  <si>
    <t>w(3, 1, 3, 7)</t>
  </si>
  <si>
    <t>w(3, 1, 3, 8)</t>
  </si>
  <si>
    <t>w(3, 1, 3, 9)</t>
  </si>
  <si>
    <t>w(3, 1, 3, 10)</t>
  </si>
  <si>
    <t>w(3, 1, 3, 11)</t>
  </si>
  <si>
    <t>w(3, 1, 3, 12)</t>
  </si>
  <si>
    <t>w(3, 1, 4, 1)</t>
  </si>
  <si>
    <t>w(3, 1, 4, 2)</t>
  </si>
  <si>
    <t>w(3, 1, 4, 3)</t>
  </si>
  <si>
    <t>w(3, 1, 4, 4)</t>
  </si>
  <si>
    <t>w(3, 1, 4, 5)</t>
  </si>
  <si>
    <t>w(3, 1, 4, 6)</t>
  </si>
  <si>
    <t>w(3, 1, 4, 7)</t>
  </si>
  <si>
    <t>w(3, 1, 4, 8)</t>
  </si>
  <si>
    <t>w(3, 1, 4, 9)</t>
  </si>
  <si>
    <t>w(3, 1, 4, 10)</t>
  </si>
  <si>
    <t>w(3, 1, 4, 11)</t>
  </si>
  <si>
    <t>w(3, 1, 4, 12)</t>
  </si>
  <si>
    <t>w(3, 1, 5, 1)</t>
  </si>
  <si>
    <t>w(3, 1, 5, 2)</t>
  </si>
  <si>
    <t>w(3, 1, 5, 3)</t>
  </si>
  <si>
    <t>w(3, 1, 5, 4)</t>
  </si>
  <si>
    <t>w(3, 1, 5, 5)</t>
  </si>
  <si>
    <t>w(3, 1, 5, 6)</t>
  </si>
  <si>
    <t>w(3, 1, 5, 7)</t>
  </si>
  <si>
    <t>w(3, 1, 5, 8)</t>
  </si>
  <si>
    <t>w(3, 1, 5, 9)</t>
  </si>
  <si>
    <t>w(3, 1, 5, 10)</t>
  </si>
  <si>
    <t>w(3, 1, 5, 11)</t>
  </si>
  <si>
    <t>w(3, 1, 5, 12)</t>
  </si>
  <si>
    <t>w(3, 1, 6, 1)</t>
  </si>
  <si>
    <t>w(3, 1, 6, 2)</t>
  </si>
  <si>
    <t>w(3, 1, 6, 3)</t>
  </si>
  <si>
    <t>w(3, 1, 6, 4)</t>
  </si>
  <si>
    <t>w(3, 1, 6, 5)</t>
  </si>
  <si>
    <t>w(3, 1, 6, 6)</t>
  </si>
  <si>
    <t>w(3, 1, 6, 7)</t>
  </si>
  <si>
    <t>w(3, 1, 6, 8)</t>
  </si>
  <si>
    <t>w(3, 1, 6, 9)</t>
  </si>
  <si>
    <t>w(3, 1, 6, 10)</t>
  </si>
  <si>
    <t>w(3, 1, 6, 11)</t>
  </si>
  <si>
    <t>w(3, 1, 6, 12)</t>
  </si>
  <si>
    <t>w(3, 1, 7, 1)</t>
  </si>
  <si>
    <t>w(3, 1, 7, 2)</t>
  </si>
  <si>
    <t>w(3, 1, 7, 3)</t>
  </si>
  <si>
    <t>w(3, 1, 7, 4)</t>
  </si>
  <si>
    <t>w(3, 1, 7, 5)</t>
  </si>
  <si>
    <t>w(3, 1, 7, 6)</t>
  </si>
  <si>
    <t>w(3, 1, 7, 7)</t>
  </si>
  <si>
    <t>w(3, 1, 7, 8)</t>
  </si>
  <si>
    <t>w(3, 1, 7, 9)</t>
  </si>
  <si>
    <t>w(3, 1, 7, 10)</t>
  </si>
  <si>
    <t>w(3, 1, 7, 11)</t>
  </si>
  <si>
    <t>w(3, 1, 7, 12)</t>
  </si>
  <si>
    <t>w(3, 1, 8, 1)</t>
  </si>
  <si>
    <t>w(3, 1, 8, 2)</t>
  </si>
  <si>
    <t>w(3, 1, 8, 3)</t>
  </si>
  <si>
    <t>w(3, 1, 8, 4)</t>
  </si>
  <si>
    <t>w(3, 1, 8, 5)</t>
  </si>
  <si>
    <t>w(3, 1, 8, 6)</t>
  </si>
  <si>
    <t>w(3, 1, 8, 7)</t>
  </si>
  <si>
    <t>w(3, 1, 8, 8)</t>
  </si>
  <si>
    <t>w(3, 1, 8, 9)</t>
  </si>
  <si>
    <t>w(3, 1, 8, 10)</t>
  </si>
  <si>
    <t>w(3, 1, 8, 11)</t>
  </si>
  <si>
    <t>w(3, 1, 8, 12)</t>
  </si>
  <si>
    <t>w(3, 2, 1, 1)</t>
  </si>
  <si>
    <t>w(3, 2, 1, 2)</t>
  </si>
  <si>
    <t>w(3, 2, 1, 3)</t>
  </si>
  <si>
    <t>w(3, 2, 1, 4)</t>
  </si>
  <si>
    <t>w(3, 2, 1, 5)</t>
  </si>
  <si>
    <t>w(3, 2, 1, 6)</t>
  </si>
  <si>
    <t>w(3, 2, 1, 7)</t>
  </si>
  <si>
    <t>w(3, 2, 1, 8)</t>
  </si>
  <si>
    <t>w(3, 2, 1, 9)</t>
  </si>
  <si>
    <t>w(3, 2, 1, 10)</t>
  </si>
  <si>
    <t>w(3, 2, 1, 11)</t>
  </si>
  <si>
    <t>w(3, 2, 1, 12)</t>
  </si>
  <si>
    <t>w(3, 2, 2, 1)</t>
  </si>
  <si>
    <t>w(3, 2, 2, 2)</t>
  </si>
  <si>
    <t>w(3, 2, 2, 3)</t>
  </si>
  <si>
    <t>w(3, 2, 2, 4)</t>
  </si>
  <si>
    <t>w(3, 2, 2, 5)</t>
  </si>
  <si>
    <t>w(3, 2, 2, 6)</t>
  </si>
  <si>
    <t>w(3, 2, 2, 7)</t>
  </si>
  <si>
    <t>w(3, 2, 2, 8)</t>
  </si>
  <si>
    <t>w(3, 2, 2, 9)</t>
  </si>
  <si>
    <t>w(3, 2, 2, 10)</t>
  </si>
  <si>
    <t>w(3, 2, 2, 11)</t>
  </si>
  <si>
    <t>w(3, 2, 2, 12)</t>
  </si>
  <si>
    <t>w(3, 2, 3, 1)</t>
  </si>
  <si>
    <t>w(3, 2, 3, 2)</t>
  </si>
  <si>
    <t>w(3, 2, 3, 3)</t>
  </si>
  <si>
    <t>w(3, 2, 3, 4)</t>
  </si>
  <si>
    <t>w(3, 2, 3, 5)</t>
  </si>
  <si>
    <t>w(3, 2, 3, 6)</t>
  </si>
  <si>
    <t>w(3, 2, 3, 7)</t>
  </si>
  <si>
    <t>w(3, 2, 3, 8)</t>
  </si>
  <si>
    <t>w(3, 2, 3, 9)</t>
  </si>
  <si>
    <t>w(3, 2, 3, 10)</t>
  </si>
  <si>
    <t>w(3, 2, 3, 11)</t>
  </si>
  <si>
    <t>w(3, 2, 3, 12)</t>
  </si>
  <si>
    <t>w(3, 2, 4, 1)</t>
  </si>
  <si>
    <t>w(3, 2, 4, 2)</t>
  </si>
  <si>
    <t>w(3, 2, 4, 3)</t>
  </si>
  <si>
    <t>w(3, 2, 4, 4)</t>
  </si>
  <si>
    <t>w(3, 2, 4, 5)</t>
  </si>
  <si>
    <t>w(3, 2, 4, 6)</t>
  </si>
  <si>
    <t>w(3, 2, 4, 7)</t>
  </si>
  <si>
    <t>w(3, 2, 4, 8)</t>
  </si>
  <si>
    <t>w(3, 2, 4, 9)</t>
  </si>
  <si>
    <t>w(3, 2, 4, 10)</t>
  </si>
  <si>
    <t>w(3, 2, 4, 11)</t>
  </si>
  <si>
    <t>w(3, 2, 4, 12)</t>
  </si>
  <si>
    <t>w(3, 2, 5, 1)</t>
  </si>
  <si>
    <t>w(3, 2, 5, 2)</t>
  </si>
  <si>
    <t>w(3, 2, 5, 3)</t>
  </si>
  <si>
    <t>w(3, 2, 5, 4)</t>
  </si>
  <si>
    <t>w(3, 2, 5, 5)</t>
  </si>
  <si>
    <t>w(3, 2, 5, 6)</t>
  </si>
  <si>
    <t>w(3, 2, 5, 7)</t>
  </si>
  <si>
    <t>w(3, 2, 5, 8)</t>
  </si>
  <si>
    <t>w(3, 2, 5, 9)</t>
  </si>
  <si>
    <t>w(3, 2, 5, 10)</t>
  </si>
  <si>
    <t>w(3, 2, 5, 11)</t>
  </si>
  <si>
    <t>w(3, 2, 5, 12)</t>
  </si>
  <si>
    <t>w(3, 2, 6, 1)</t>
  </si>
  <si>
    <t>w(3, 2, 6, 2)</t>
  </si>
  <si>
    <t>w(3, 2, 6, 3)</t>
  </si>
  <si>
    <t>w(3, 2, 6, 4)</t>
  </si>
  <si>
    <t>w(3, 2, 6, 5)</t>
  </si>
  <si>
    <t>w(3, 2, 6, 6)</t>
  </si>
  <si>
    <t>w(3, 2, 6, 7)</t>
  </si>
  <si>
    <t>w(3, 2, 6, 8)</t>
  </si>
  <si>
    <t>w(3, 2, 6, 9)</t>
  </si>
  <si>
    <t>w(3, 2, 6, 10)</t>
  </si>
  <si>
    <t>w(3, 2, 6, 11)</t>
  </si>
  <si>
    <t>w(3, 2, 6, 12)</t>
  </si>
  <si>
    <t>w(3, 2, 7, 1)</t>
  </si>
  <si>
    <t>w(3, 2, 7, 2)</t>
  </si>
  <si>
    <t>w(3, 2, 7, 3)</t>
  </si>
  <si>
    <t>w(3, 2, 7, 4)</t>
  </si>
  <si>
    <t>w(3, 2, 7, 5)</t>
  </si>
  <si>
    <t>w(3, 2, 7, 6)</t>
  </si>
  <si>
    <t>w(3, 2, 7, 7)</t>
  </si>
  <si>
    <t>w(3, 2, 7, 8)</t>
  </si>
  <si>
    <t>w(3, 2, 7, 9)</t>
  </si>
  <si>
    <t>w(3, 2, 7, 10)</t>
  </si>
  <si>
    <t>w(3, 2, 7, 11)</t>
  </si>
  <si>
    <t>w(3, 2, 7, 12)</t>
  </si>
  <si>
    <t>w(3, 2, 8, 1)</t>
  </si>
  <si>
    <t>w(3, 2, 8, 2)</t>
  </si>
  <si>
    <t>w(3, 2, 8, 3)</t>
  </si>
  <si>
    <t>w(3, 2, 8, 4)</t>
  </si>
  <si>
    <t>w(3, 2, 8, 5)</t>
  </si>
  <si>
    <t>w(3, 2, 8, 6)</t>
  </si>
  <si>
    <t>w(3, 2, 8, 7)</t>
  </si>
  <si>
    <t>w(3, 2, 8, 8)</t>
  </si>
  <si>
    <t>w(3, 2, 8, 9)</t>
  </si>
  <si>
    <t>w(3, 2, 8, 10)</t>
  </si>
  <si>
    <t>w(3, 2, 8, 11)</t>
  </si>
  <si>
    <t>w(3, 2, 8, 12)</t>
  </si>
  <si>
    <t>w(4, 1, 1, 1)</t>
  </si>
  <si>
    <t>w(4, 1, 1, 2)</t>
  </si>
  <si>
    <t>w(4, 1, 1, 3)</t>
  </si>
  <si>
    <t>w(4, 1, 1, 4)</t>
  </si>
  <si>
    <t>w(4, 1, 1, 5)</t>
  </si>
  <si>
    <t>w(4, 1, 1, 6)</t>
  </si>
  <si>
    <t>w(4, 1, 1, 7)</t>
  </si>
  <si>
    <t>w(4, 1, 1, 8)</t>
  </si>
  <si>
    <t>w(4, 1, 1, 9)</t>
  </si>
  <si>
    <t>w(4, 1, 1, 10)</t>
  </si>
  <si>
    <t>w(4, 1, 1, 11)</t>
  </si>
  <si>
    <t>w(4, 1, 1, 12)</t>
  </si>
  <si>
    <t>w(4, 1, 2, 1)</t>
  </si>
  <si>
    <t>w(4, 1, 2, 2)</t>
  </si>
  <si>
    <t>w(4, 1, 2, 3)</t>
  </si>
  <si>
    <t>w(4, 1, 2, 4)</t>
  </si>
  <si>
    <t>w(4, 1, 2, 5)</t>
  </si>
  <si>
    <t>w(4, 1, 2, 6)</t>
  </si>
  <si>
    <t>w(4, 1, 2, 7)</t>
  </si>
  <si>
    <t>w(4, 1, 2, 8)</t>
  </si>
  <si>
    <t>w(4, 1, 2, 9)</t>
  </si>
  <si>
    <t>w(4, 1, 2, 10)</t>
  </si>
  <si>
    <t>w(4, 1, 2, 11)</t>
  </si>
  <si>
    <t>w(4, 1, 2, 12)</t>
  </si>
  <si>
    <t>w(4, 1, 3, 1)</t>
  </si>
  <si>
    <t>w(4, 1, 3, 2)</t>
  </si>
  <si>
    <t>w(4, 1, 3, 3)</t>
  </si>
  <si>
    <t>w(4, 1, 3, 4)</t>
  </si>
  <si>
    <t>w(4, 1, 3, 5)</t>
  </si>
  <si>
    <t>w(4, 1, 3, 6)</t>
  </si>
  <si>
    <t>w(4, 1, 3, 7)</t>
  </si>
  <si>
    <t>w(4, 1, 3, 8)</t>
  </si>
  <si>
    <t>w(4, 1, 3, 9)</t>
  </si>
  <si>
    <t>w(4, 1, 3, 10)</t>
  </si>
  <si>
    <t>w(4, 1, 3, 11)</t>
  </si>
  <si>
    <t>w(4, 1, 3, 12)</t>
  </si>
  <si>
    <t>w(4, 1, 4, 1)</t>
  </si>
  <si>
    <t>w(4, 1, 4, 2)</t>
  </si>
  <si>
    <t>w(4, 1, 4, 3)</t>
  </si>
  <si>
    <t>w(4, 1, 4, 4)</t>
  </si>
  <si>
    <t>w(4, 1, 4, 5)</t>
  </si>
  <si>
    <t>w(4, 1, 4, 6)</t>
  </si>
  <si>
    <t>w(4, 1, 4, 7)</t>
  </si>
  <si>
    <t>w(4, 1, 4, 8)</t>
  </si>
  <si>
    <t>w(4, 1, 4, 9)</t>
  </si>
  <si>
    <t>w(4, 1, 4, 10)</t>
  </si>
  <si>
    <t>w(4, 1, 4, 11)</t>
  </si>
  <si>
    <t>w(4, 1, 4, 12)</t>
  </si>
  <si>
    <t>w(4, 1, 5, 1)</t>
  </si>
  <si>
    <t>w(4, 1, 5, 2)</t>
  </si>
  <si>
    <t>w(4, 1, 5, 3)</t>
  </si>
  <si>
    <t>w(4, 1, 5, 4)</t>
  </si>
  <si>
    <t>w(4, 1, 5, 5)</t>
  </si>
  <si>
    <t>w(4, 1, 5, 6)</t>
  </si>
  <si>
    <t>w(4, 1, 5, 7)</t>
  </si>
  <si>
    <t>w(4, 1, 5, 8)</t>
  </si>
  <si>
    <t>w(4, 1, 5, 9)</t>
  </si>
  <si>
    <t>w(4, 1, 5, 10)</t>
  </si>
  <si>
    <t>w(4, 1, 5, 11)</t>
  </si>
  <si>
    <t>w(4, 1, 5, 12)</t>
  </si>
  <si>
    <t>w(4, 1, 6, 1)</t>
  </si>
  <si>
    <t>w(4, 1, 6, 2)</t>
  </si>
  <si>
    <t>w(4, 1, 6, 3)</t>
  </si>
  <si>
    <t>w(4, 1, 6, 4)</t>
  </si>
  <si>
    <t>w(4, 1, 6, 5)</t>
  </si>
  <si>
    <t>w(4, 1, 6, 6)</t>
  </si>
  <si>
    <t>w(4, 1, 6, 7)</t>
  </si>
  <si>
    <t>w(4, 1, 6, 8)</t>
  </si>
  <si>
    <t>w(4, 1, 6, 9)</t>
  </si>
  <si>
    <t>w(4, 1, 6, 10)</t>
  </si>
  <si>
    <t>w(4, 1, 6, 11)</t>
  </si>
  <si>
    <t>w(4, 1, 6, 12)</t>
  </si>
  <si>
    <t>w(4, 1, 7, 1)</t>
  </si>
  <si>
    <t>w(4, 1, 7, 2)</t>
  </si>
  <si>
    <t>w(4, 1, 7, 3)</t>
  </si>
  <si>
    <t>w(4, 1, 7, 4)</t>
  </si>
  <si>
    <t>w(4, 1, 7, 5)</t>
  </si>
  <si>
    <t>w(4, 1, 7, 6)</t>
  </si>
  <si>
    <t>w(4, 1, 7, 7)</t>
  </si>
  <si>
    <t>w(4, 1, 7, 8)</t>
  </si>
  <si>
    <t>w(4, 1, 7, 9)</t>
  </si>
  <si>
    <t>w(4, 1, 7, 10)</t>
  </si>
  <si>
    <t>w(4, 1, 7, 11)</t>
  </si>
  <si>
    <t>w(4, 1, 7, 12)</t>
  </si>
  <si>
    <t>w(4, 1, 8, 1)</t>
  </si>
  <si>
    <t>w(4, 1, 8, 2)</t>
  </si>
  <si>
    <t>w(4, 1, 8, 3)</t>
  </si>
  <si>
    <t>w(4, 1, 8, 4)</t>
  </si>
  <si>
    <t>w(4, 1, 8, 5)</t>
  </si>
  <si>
    <t>w(4, 1, 8, 6)</t>
  </si>
  <si>
    <t>w(4, 1, 8, 7)</t>
  </si>
  <si>
    <t>w(4, 1, 8, 8)</t>
  </si>
  <si>
    <t>w(4, 1, 8, 9)</t>
  </si>
  <si>
    <t>w(4, 1, 8, 10)</t>
  </si>
  <si>
    <t>w(4, 1, 8, 11)</t>
  </si>
  <si>
    <t>w(4, 1, 8, 12)</t>
  </si>
  <si>
    <t>w(4, 2, 1, 1)</t>
  </si>
  <si>
    <t>w(4, 2, 1, 2)</t>
  </si>
  <si>
    <t>w(4, 2, 1, 3)</t>
  </si>
  <si>
    <t>w(4, 2, 1, 4)</t>
  </si>
  <si>
    <t>w(4, 2, 1, 5)</t>
  </si>
  <si>
    <t>w(4, 2, 1, 6)</t>
  </si>
  <si>
    <t>w(4, 2, 1, 7)</t>
  </si>
  <si>
    <t>w(4, 2, 1, 8)</t>
  </si>
  <si>
    <t>w(4, 2, 1, 9)</t>
  </si>
  <si>
    <t>w(4, 2, 1, 10)</t>
  </si>
  <si>
    <t>w(4, 2, 1, 11)</t>
  </si>
  <si>
    <t>w(4, 2, 1, 12)</t>
  </si>
  <si>
    <t>w(4, 2, 2, 1)</t>
  </si>
  <si>
    <t>w(4, 2, 2, 2)</t>
  </si>
  <si>
    <t>w(4, 2, 2, 3)</t>
  </si>
  <si>
    <t>w(4, 2, 2, 4)</t>
  </si>
  <si>
    <t>w(4, 2, 2, 5)</t>
  </si>
  <si>
    <t>w(4, 2, 2, 6)</t>
  </si>
  <si>
    <t>w(4, 2, 2, 7)</t>
  </si>
  <si>
    <t>w(4, 2, 2, 8)</t>
  </si>
  <si>
    <t>w(4, 2, 2, 9)</t>
  </si>
  <si>
    <t>w(4, 2, 2, 10)</t>
  </si>
  <si>
    <t>w(4, 2, 2, 11)</t>
  </si>
  <si>
    <t>w(4, 2, 2, 12)</t>
  </si>
  <si>
    <t>w(4, 2, 3, 1)</t>
  </si>
  <si>
    <t>w(4, 2, 3, 2)</t>
  </si>
  <si>
    <t>w(4, 2, 3, 3)</t>
  </si>
  <si>
    <t>w(4, 2, 3, 4)</t>
  </si>
  <si>
    <t>w(4, 2, 3, 5)</t>
  </si>
  <si>
    <t>w(4, 2, 3, 6)</t>
  </si>
  <si>
    <t>w(4, 2, 3, 7)</t>
  </si>
  <si>
    <t>w(4, 2, 3, 8)</t>
  </si>
  <si>
    <t>w(4, 2, 3, 9)</t>
  </si>
  <si>
    <t>w(4, 2, 3, 10)</t>
  </si>
  <si>
    <t>w(4, 2, 3, 11)</t>
  </si>
  <si>
    <t>w(4, 2, 3, 12)</t>
  </si>
  <si>
    <t>w(4, 2, 4, 1)</t>
  </si>
  <si>
    <t>w(4, 2, 4, 2)</t>
  </si>
  <si>
    <t>w(4, 2, 4, 3)</t>
  </si>
  <si>
    <t>w(4, 2, 4, 4)</t>
  </si>
  <si>
    <t>w(4, 2, 4, 5)</t>
  </si>
  <si>
    <t>w(4, 2, 4, 6)</t>
  </si>
  <si>
    <t>w(4, 2, 4, 7)</t>
  </si>
  <si>
    <t>w(4, 2, 4, 8)</t>
  </si>
  <si>
    <t>w(4, 2, 4, 9)</t>
  </si>
  <si>
    <t>w(4, 2, 4, 10)</t>
  </si>
  <si>
    <t>w(4, 2, 4, 11)</t>
  </si>
  <si>
    <t>w(4, 2, 4, 12)</t>
  </si>
  <si>
    <t>w(4, 2, 5, 1)</t>
  </si>
  <si>
    <t>w(4, 2, 5, 2)</t>
  </si>
  <si>
    <t>w(4, 2, 5, 3)</t>
  </si>
  <si>
    <t>w(4, 2, 5, 4)</t>
  </si>
  <si>
    <t>w(4, 2, 5, 5)</t>
  </si>
  <si>
    <t>w(4, 2, 5, 6)</t>
  </si>
  <si>
    <t>w(4, 2, 5, 7)</t>
  </si>
  <si>
    <t>w(4, 2, 5, 8)</t>
  </si>
  <si>
    <t>w(4, 2, 5, 9)</t>
  </si>
  <si>
    <t>w(4, 2, 5, 10)</t>
  </si>
  <si>
    <t>w(4, 2, 5, 11)</t>
  </si>
  <si>
    <t>w(4, 2, 5, 12)</t>
  </si>
  <si>
    <t>w(4, 2, 6, 1)</t>
  </si>
  <si>
    <t>w(4, 2, 6, 2)</t>
  </si>
  <si>
    <t>w(4, 2, 6, 3)</t>
  </si>
  <si>
    <t>w(4, 2, 6, 4)</t>
  </si>
  <si>
    <t>w(4, 2, 6, 5)</t>
  </si>
  <si>
    <t>w(4, 2, 6, 6)</t>
  </si>
  <si>
    <t>w(4, 2, 6, 7)</t>
  </si>
  <si>
    <t>w(4, 2, 6, 8)</t>
  </si>
  <si>
    <t>w(4, 2, 6, 9)</t>
  </si>
  <si>
    <t>w(4, 2, 6, 10)</t>
  </si>
  <si>
    <t>w(4, 2, 6, 11)</t>
  </si>
  <si>
    <t>w(4, 2, 6, 12)</t>
  </si>
  <si>
    <t>w(4, 2, 7, 1)</t>
  </si>
  <si>
    <t>w(4, 2, 7, 2)</t>
  </si>
  <si>
    <t>w(4, 2, 7, 3)</t>
  </si>
  <si>
    <t>w(4, 2, 7, 4)</t>
  </si>
  <si>
    <t>w(4, 2, 7, 5)</t>
  </si>
  <si>
    <t>w(4, 2, 7, 6)</t>
  </si>
  <si>
    <t>w(4, 2, 7, 7)</t>
  </si>
  <si>
    <t>w(4, 2, 7, 8)</t>
  </si>
  <si>
    <t>w(4, 2, 7, 9)</t>
  </si>
  <si>
    <t>w(4, 2, 7, 10)</t>
  </si>
  <si>
    <t>w(4, 2, 7, 11)</t>
  </si>
  <si>
    <t>w(4, 2, 7, 12)</t>
  </si>
  <si>
    <t>w(4, 2, 8, 1)</t>
  </si>
  <si>
    <t>w(4, 2, 8, 2)</t>
  </si>
  <si>
    <t>w(4, 2, 8, 3)</t>
  </si>
  <si>
    <t>w(4, 2, 8, 4)</t>
  </si>
  <si>
    <t>w(4, 2, 8, 5)</t>
  </si>
  <si>
    <t>w(4, 2, 8, 6)</t>
  </si>
  <si>
    <t>w(4, 2, 8, 7)</t>
  </si>
  <si>
    <t>w(4, 2, 8, 8)</t>
  </si>
  <si>
    <t>w(4, 2, 8, 9)</t>
  </si>
  <si>
    <t>w(4, 2, 8, 10)</t>
  </si>
  <si>
    <t>w(4, 2, 8, 11)</t>
  </si>
  <si>
    <t>w(4, 2, 8, 12)</t>
  </si>
  <si>
    <t>Up to level (y[i, j])</t>
  </si>
  <si>
    <t>y(1, 1)</t>
  </si>
  <si>
    <t>y(1, 2)</t>
  </si>
  <si>
    <t>y(2, 1)</t>
  </si>
  <si>
    <t>y(2, 2)</t>
  </si>
  <si>
    <t>y(3, 1)</t>
  </si>
  <si>
    <t>y(3, 2)</t>
  </si>
  <si>
    <t>y(4, 1)</t>
  </si>
  <si>
    <t>y(4, 2)</t>
  </si>
  <si>
    <t>z(1, 1, 0)</t>
  </si>
  <si>
    <t>z(1, 1, 1)</t>
  </si>
  <si>
    <t>z(1, 1, 2)</t>
  </si>
  <si>
    <t>z(1, 1, 3)</t>
  </si>
  <si>
    <t>z(1, 1, 4)</t>
  </si>
  <si>
    <t>z(1, 1, 5)</t>
  </si>
  <si>
    <t>z(1, 1, 6)</t>
  </si>
  <si>
    <t>z(1, 1, 7)</t>
  </si>
  <si>
    <t>z(1, 1, 8)</t>
  </si>
  <si>
    <t>z(1, 1, 9)</t>
  </si>
  <si>
    <t>z(1, 1, 10)</t>
  </si>
  <si>
    <t>z(1, 1, 11)</t>
  </si>
  <si>
    <t>z(1, 1, 12)</t>
  </si>
  <si>
    <t>z(1, 2, 0)</t>
  </si>
  <si>
    <t>z(1, 2, 1)</t>
  </si>
  <si>
    <t>z(1, 2, 2)</t>
  </si>
  <si>
    <t>z(1, 2, 3)</t>
  </si>
  <si>
    <t>z(1, 2, 4)</t>
  </si>
  <si>
    <t>z(1, 2, 5)</t>
  </si>
  <si>
    <t>z(1, 2, 6)</t>
  </si>
  <si>
    <t>z(1, 2, 7)</t>
  </si>
  <si>
    <t>z(1, 2, 8)</t>
  </si>
  <si>
    <t>z(1, 2, 9)</t>
  </si>
  <si>
    <t>z(1, 2, 10)</t>
  </si>
  <si>
    <t>z(1, 2, 11)</t>
  </si>
  <si>
    <t>z(1, 2, 12)</t>
  </si>
  <si>
    <t>z(2, 1, 0)</t>
  </si>
  <si>
    <t>z(2, 1, 1)</t>
  </si>
  <si>
    <t>z(2, 1, 2)</t>
  </si>
  <si>
    <t>z(2, 1, 3)</t>
  </si>
  <si>
    <t>z(2, 1, 4)</t>
  </si>
  <si>
    <t>z(2, 1, 5)</t>
  </si>
  <si>
    <t>z(2, 1, 6)</t>
  </si>
  <si>
    <t>z(2, 1, 7)</t>
  </si>
  <si>
    <t>z(2, 1, 8)</t>
  </si>
  <si>
    <t>z(2, 1, 9)</t>
  </si>
  <si>
    <t>z(2, 1, 10)</t>
  </si>
  <si>
    <t>z(2, 1, 11)</t>
  </si>
  <si>
    <t>z(2, 1, 12)</t>
  </si>
  <si>
    <t>z(2, 2, 0)</t>
  </si>
  <si>
    <t>z(2, 2, 1)</t>
  </si>
  <si>
    <t>z(2, 2, 2)</t>
  </si>
  <si>
    <t>z(2, 2, 3)</t>
  </si>
  <si>
    <t>z(2, 2, 4)</t>
  </si>
  <si>
    <t>z(2, 2, 5)</t>
  </si>
  <si>
    <t>z(2, 2, 6)</t>
  </si>
  <si>
    <t>z(2, 2, 7)</t>
  </si>
  <si>
    <t>z(2, 2, 8)</t>
  </si>
  <si>
    <t>z(2, 2, 9)</t>
  </si>
  <si>
    <t>z(2, 2, 10)</t>
  </si>
  <si>
    <t>z(2, 2, 11)</t>
  </si>
  <si>
    <t>z(2, 2, 12)</t>
  </si>
  <si>
    <t>z(3, 1, 0)</t>
  </si>
  <si>
    <t>z(3, 1, 1)</t>
  </si>
  <si>
    <t>z(3, 1, 2)</t>
  </si>
  <si>
    <t>z(3, 1, 3)</t>
  </si>
  <si>
    <t>z(3, 1, 4)</t>
  </si>
  <si>
    <t>z(3, 1, 5)</t>
  </si>
  <si>
    <t>z(3, 1, 6)</t>
  </si>
  <si>
    <t>z(3, 1, 7)</t>
  </si>
  <si>
    <t>z(3, 1, 8)</t>
  </si>
  <si>
    <t>z(3, 1, 9)</t>
  </si>
  <si>
    <t>z(3, 1, 10)</t>
  </si>
  <si>
    <t>z(3, 1, 11)</t>
  </si>
  <si>
    <t>z(3, 1, 12)</t>
  </si>
  <si>
    <t>z(3, 2, 0)</t>
  </si>
  <si>
    <t>z(3, 2, 1)</t>
  </si>
  <si>
    <t>z(3, 2, 2)</t>
  </si>
  <si>
    <t>z(3, 2, 3)</t>
  </si>
  <si>
    <t>z(3, 2, 4)</t>
  </si>
  <si>
    <t>z(3, 2, 5)</t>
  </si>
  <si>
    <t>z(3, 2, 6)</t>
  </si>
  <si>
    <t>z(3, 2, 7)</t>
  </si>
  <si>
    <t>z(3, 2, 8)</t>
  </si>
  <si>
    <t>z(3, 2, 9)</t>
  </si>
  <si>
    <t>z(3, 2, 10)</t>
  </si>
  <si>
    <t>z(3, 2, 11)</t>
  </si>
  <si>
    <t>z(3, 2, 12)</t>
  </si>
  <si>
    <t>z(4, 1, 0)</t>
  </si>
  <si>
    <t>z(4, 1, 1)</t>
  </si>
  <si>
    <t>r(1, 1, 1, 2)</t>
  </si>
  <si>
    <t>r(1, 1, 1, 3)</t>
  </si>
  <si>
    <t>r(1, 1, 1, 4)</t>
  </si>
  <si>
    <t>r(1, 1, 1, 5)</t>
  </si>
  <si>
    <t>r(1, 1, 1, 7)</t>
  </si>
  <si>
    <t>r(1, 1, 1, 8)</t>
  </si>
  <si>
    <t>r(1, 1, 1, 9)</t>
  </si>
  <si>
    <t>r(1, 1, 1, 10)</t>
  </si>
  <si>
    <t>r(1, 1, 1, 11)</t>
  </si>
  <si>
    <t>r(1, 1, 1, 12)</t>
  </si>
  <si>
    <t>r(1, 1, 2, 2)</t>
  </si>
  <si>
    <t>r(1, 1, 2, 3)</t>
  </si>
  <si>
    <t>r(1, 1, 2, 4)</t>
  </si>
  <si>
    <t>r(1, 1, 2, 5)</t>
  </si>
  <si>
    <t>r(1, 1, 2, 7)</t>
  </si>
  <si>
    <t>r(1, 1, 2, 8)</t>
  </si>
  <si>
    <t>r(1, 1, 2, 9)</t>
  </si>
  <si>
    <t>r(1, 1, 2, 10)</t>
  </si>
  <si>
    <t>r(1, 1, 2, 11)</t>
  </si>
  <si>
    <t>r(1, 1, 2, 12)</t>
  </si>
  <si>
    <t>r(1, 2, 1, 2)</t>
  </si>
  <si>
    <t>r(1, 2, 1, 3)</t>
  </si>
  <si>
    <t>r(1, 2, 1, 5)</t>
  </si>
  <si>
    <t>r(1, 2, 1, 6)</t>
  </si>
  <si>
    <t>r(1, 2, 1, 7)</t>
  </si>
  <si>
    <t>r(1, 2, 1, 8)</t>
  </si>
  <si>
    <t>r(1, 2, 1, 9)</t>
  </si>
  <si>
    <t>r(1, 2, 1, 11)</t>
  </si>
  <si>
    <t>r(1, 2, 1, 12)</t>
  </si>
  <si>
    <t>r(1, 2, 2, 2)</t>
  </si>
  <si>
    <t>r(1, 2, 2, 3)</t>
  </si>
  <si>
    <t>r(1, 2, 2, 5)</t>
  </si>
  <si>
    <t>r(1, 2, 2, 6)</t>
  </si>
  <si>
    <t>r(1, 2, 2, 7)</t>
  </si>
  <si>
    <t>r(1, 2, 2, 8)</t>
  </si>
  <si>
    <t>r(1, 2, 2, 9)</t>
  </si>
  <si>
    <t>r(1, 2, 2, 11)</t>
  </si>
  <si>
    <t>r(1, 2, 2, 12)</t>
  </si>
  <si>
    <t>r(1, 3, 1, 2)</t>
  </si>
  <si>
    <t>r(1, 3, 1, 3)</t>
  </si>
  <si>
    <t>r(1, 3, 1, 4)</t>
  </si>
  <si>
    <t>r(1, 3, 1, 5)</t>
  </si>
  <si>
    <t>r(1, 3, 1, 7)</t>
  </si>
  <si>
    <t>r(1, 3, 1, 8)</t>
  </si>
  <si>
    <t>r(1, 3, 1, 9)</t>
  </si>
  <si>
    <t>r(1, 3, 1, 10)</t>
  </si>
  <si>
    <t>r(1, 3, 1, 11)</t>
  </si>
  <si>
    <t>r(1, 3, 2, 2)</t>
  </si>
  <si>
    <t>r(1, 3, 2, 3)</t>
  </si>
  <si>
    <t>r(1, 3, 2, 4)</t>
  </si>
  <si>
    <t>r(1, 3, 2, 5)</t>
  </si>
  <si>
    <t>r(1, 3, 2, 7)</t>
  </si>
  <si>
    <t>r(1, 3, 2, 8)</t>
  </si>
  <si>
    <t>r(1, 3, 2, 9)</t>
  </si>
  <si>
    <t>r(1, 3, 2, 10)</t>
  </si>
  <si>
    <t>r(1, 3, 2, 11)</t>
  </si>
  <si>
    <t>r(1, 4, 1, 2)</t>
  </si>
  <si>
    <t>r(1, 4, 1, 3)</t>
  </si>
  <si>
    <t>r(1, 4, 1, 4)</t>
  </si>
  <si>
    <t>r(1, 4, 1, 5)</t>
  </si>
  <si>
    <t>r(1, 4, 1, 6)</t>
  </si>
  <si>
    <t>r(1, 4, 1, 7)</t>
  </si>
  <si>
    <t>r(1, 4, 1, 8)</t>
  </si>
  <si>
    <t>r(1, 4, 1, 9)</t>
  </si>
  <si>
    <t>r(1, 4, 1, 10)</t>
  </si>
  <si>
    <t>r(1, 4, 1, 11)</t>
  </si>
  <si>
    <t>r(1, 4, 1, 12)</t>
  </si>
  <si>
    <t>r(1, 4, 2, 2)</t>
  </si>
  <si>
    <t>r(1, 4, 2, 4)</t>
  </si>
  <si>
    <t>r(1, 4, 2, 5)</t>
  </si>
  <si>
    <t>r(1, 4, 2, 6)</t>
  </si>
  <si>
    <t>r(1, 4, 2, 7)</t>
  </si>
  <si>
    <t>r(1, 4, 2, 8)</t>
  </si>
  <si>
    <t>r(1, 4, 2, 9)</t>
  </si>
  <si>
    <t>r(1, 4, 2, 10)</t>
  </si>
  <si>
    <t>r(1, 4, 2, 11)</t>
  </si>
  <si>
    <t>r(1, 4, 2, 12)</t>
  </si>
  <si>
    <t>r(2, 1, 1, 2)</t>
  </si>
  <si>
    <t>r(2, 1, 1, 4)</t>
  </si>
  <si>
    <t>r(2, 1, 1, 7)</t>
  </si>
  <si>
    <t>r(2, 1, 2, 8)</t>
  </si>
  <si>
    <t>r(2, 2, 1, 9)</t>
  </si>
  <si>
    <t>r(2, 2, 2, 2)</t>
  </si>
  <si>
    <t>r(2, 2, 2, 3)</t>
  </si>
  <si>
    <t>r(2, 2, 2, 7)</t>
  </si>
  <si>
    <t>r(2, 2, 2, 8)</t>
  </si>
  <si>
    <t>r(2, 4, 1, 2)</t>
  </si>
  <si>
    <t>r(2, 4, 1, 3)</t>
  </si>
  <si>
    <t>r(2, 4, 1, 4)</t>
  </si>
  <si>
    <t>r(2, 4, 1, 5)</t>
  </si>
  <si>
    <t>r(2, 4, 1, 6)</t>
  </si>
  <si>
    <t>r(2, 4, 1, 7)</t>
  </si>
  <si>
    <t>r(2, 4, 1, 9)</t>
  </si>
  <si>
    <t>r(2, 4, 1, 10)</t>
  </si>
  <si>
    <t>r(2, 4, 1, 11)</t>
  </si>
  <si>
    <t>r(2, 4, 1, 12)</t>
  </si>
  <si>
    <t>r(2, 4, 2, 3)</t>
  </si>
  <si>
    <t>r(2, 4, 2, 8)</t>
  </si>
  <si>
    <t>r(3, 3, 1, 3)</t>
  </si>
  <si>
    <t>r(4, 3, 1, 2)</t>
  </si>
  <si>
    <t>r(4, 3, 1, 3)</t>
  </si>
  <si>
    <t>s(1, 1, 1, 1)</t>
  </si>
  <si>
    <t>s(1, 1, 1, 2)</t>
  </si>
  <si>
    <t>s(1, 1, 1, 3)</t>
  </si>
  <si>
    <t>s(1, 1, 1, 4)</t>
  </si>
  <si>
    <t>s(1, 1, 1, 5)</t>
  </si>
  <si>
    <t>s(1, 1, 1, 7)</t>
  </si>
  <si>
    <t>s(1, 1, 1, 8)</t>
  </si>
  <si>
    <t>s(1, 1, 1, 9)</t>
  </si>
  <si>
    <t>s(1, 1, 1, 10)</t>
  </si>
  <si>
    <t>s(1, 1, 1, 11)</t>
  </si>
  <si>
    <t>s(1, 1, 1, 12)</t>
  </si>
  <si>
    <t>s(1, 1, 2, 1)</t>
  </si>
  <si>
    <t>s(1, 1, 3, 1)</t>
  </si>
  <si>
    <t>s(1, 1, 3, 2)</t>
  </si>
  <si>
    <t>s(1, 1, 3, 3)</t>
  </si>
  <si>
    <t>s(1, 1, 3, 4)</t>
  </si>
  <si>
    <t>s(1, 1, 3, 5)</t>
  </si>
  <si>
    <t>s(1, 1, 3, 7)</t>
  </si>
  <si>
    <t>s(1, 1, 3, 8)</t>
  </si>
  <si>
    <t>s(1, 1, 3, 9)</t>
  </si>
  <si>
    <t>s(1, 1, 3, 10)</t>
  </si>
  <si>
    <t>s(1, 1, 3, 11)</t>
  </si>
  <si>
    <t>s(1, 1, 3, 12)</t>
  </si>
  <si>
    <t>s(1, 1, 4, 1)</t>
  </si>
  <si>
    <t>s(1, 1, 4, 2)</t>
  </si>
  <si>
    <t>s(1, 1, 4, 3)</t>
  </si>
  <si>
    <t>s(1, 1, 4, 4)</t>
  </si>
  <si>
    <t>s(1, 1, 4, 5)</t>
  </si>
  <si>
    <t>s(1, 1, 4, 7)</t>
  </si>
  <si>
    <t>s(1, 1, 4, 8)</t>
  </si>
  <si>
    <t>s(1, 1, 4, 9)</t>
  </si>
  <si>
    <t>s(1, 1, 4, 10)</t>
  </si>
  <si>
    <t>s(1, 1, 4, 11)</t>
  </si>
  <si>
    <t>s(1, 1, 4, 12)</t>
  </si>
  <si>
    <t>s(1, 1, 5, 1)</t>
  </si>
  <si>
    <t>s(1, 1, 6, 1)</t>
  </si>
  <si>
    <t>s(1, 1, 7, 1)</t>
  </si>
  <si>
    <t>s(1, 1, 8, 1)</t>
  </si>
  <si>
    <t>s(1, 1, 8, 2)</t>
  </si>
  <si>
    <t>s(1, 1, 8, 3)</t>
  </si>
  <si>
    <t>s(1, 1, 8, 4)</t>
  </si>
  <si>
    <t>s(1, 1, 8, 7)</t>
  </si>
  <si>
    <t>s(1, 1, 8, 8)</t>
  </si>
  <si>
    <t>s(1, 1, 8, 9)</t>
  </si>
  <si>
    <t>s(1, 1, 8, 10)</t>
  </si>
  <si>
    <t>s(1, 1, 8, 11)</t>
  </si>
  <si>
    <t>s(1, 1, 8, 12)</t>
  </si>
  <si>
    <t>s(1, 2, 2, 2)</t>
  </si>
  <si>
    <t>s(1, 2, 2, 3)</t>
  </si>
  <si>
    <t>s(1, 2, 2, 4)</t>
  </si>
  <si>
    <t>s(1, 2, 2, 5)</t>
  </si>
  <si>
    <t>s(1, 2, 2, 7)</t>
  </si>
  <si>
    <t>s(1, 2, 2, 8)</t>
  </si>
  <si>
    <t>s(1, 2, 2, 9)</t>
  </si>
  <si>
    <t>s(1, 2, 2, 10)</t>
  </si>
  <si>
    <t>s(1, 2, 2, 11)</t>
  </si>
  <si>
    <t>s(1, 2, 2, 12)</t>
  </si>
  <si>
    <t>s(1, 2, 5, 2)</t>
  </si>
  <si>
    <t>s(1, 2, 5, 3)</t>
  </si>
  <si>
    <t>s(1, 2, 5, 4)</t>
  </si>
  <si>
    <t>s(1, 2, 5, 7)</t>
  </si>
  <si>
    <t>s(1, 2, 5, 8)</t>
  </si>
  <si>
    <t>s(1, 2, 5, 9)</t>
  </si>
  <si>
    <t>s(1, 2, 5, 10)</t>
  </si>
  <si>
    <t>s(1, 2, 5, 11)</t>
  </si>
  <si>
    <t>s(1, 2, 5, 12)</t>
  </si>
  <si>
    <t>s(1, 2, 6, 2)</t>
  </si>
  <si>
    <t>s(1, 2, 6, 3)</t>
  </si>
  <si>
    <t>s(1, 2, 6, 4)</t>
  </si>
  <si>
    <t>s(1, 2, 6, 7)</t>
  </si>
  <si>
    <t>s(1, 2, 6, 8)</t>
  </si>
  <si>
    <t>s(1, 2, 6, 9)</t>
  </si>
  <si>
    <t>s(1, 2, 6, 10)</t>
  </si>
  <si>
    <t>s(1, 2, 6, 11)</t>
  </si>
  <si>
    <t>s(1, 2, 6, 12)</t>
  </si>
  <si>
    <t>s(1, 2, 7, 2)</t>
  </si>
  <si>
    <t>s(1, 2, 7, 3)</t>
  </si>
  <si>
    <t>s(1, 2, 7, 4)</t>
  </si>
  <si>
    <t>s(1, 2, 7, 7)</t>
  </si>
  <si>
    <t>s(1, 2, 7, 8)</t>
  </si>
  <si>
    <t>s(1, 2, 7, 9)</t>
  </si>
  <si>
    <t>s(1, 2, 7, 10)</t>
  </si>
  <si>
    <t>s(1, 2, 7, 11)</t>
  </si>
  <si>
    <t>s(1, 2, 7, 12)</t>
  </si>
  <si>
    <t>s(2, 1, 1, 1)</t>
  </si>
  <si>
    <t>s(2, 1, 1, 2)</t>
  </si>
  <si>
    <t>s(2, 1, 1, 3)</t>
  </si>
  <si>
    <t>s(2, 1, 1, 6)</t>
  </si>
  <si>
    <t>s(2, 1, 1, 7)</t>
  </si>
  <si>
    <t>s(2, 1, 1, 8)</t>
  </si>
  <si>
    <t>s(2, 1, 1, 9)</t>
  </si>
  <si>
    <t>s(2, 1, 1, 12)</t>
  </si>
  <si>
    <t>s(2, 1, 2, 1)</t>
  </si>
  <si>
    <t>s(2, 1, 3, 1)</t>
  </si>
  <si>
    <t>s(2, 1, 3, 2)</t>
  </si>
  <si>
    <t>s(2, 1, 3, 3)</t>
  </si>
  <si>
    <t>s(2, 1, 3, 6)</t>
  </si>
  <si>
    <t>s(2, 1, 3, 7)</t>
  </si>
  <si>
    <t>s(2, 1, 3, 8)</t>
  </si>
  <si>
    <t>s(2, 1, 3, 9)</t>
  </si>
  <si>
    <t>s(2, 1, 3, 12)</t>
  </si>
  <si>
    <t>s(2, 1, 4, 1)</t>
  </si>
  <si>
    <t>s(2, 1, 4, 2)</t>
  </si>
  <si>
    <t>s(2, 1, 4, 3)</t>
  </si>
  <si>
    <t>s(2, 1, 4, 6)</t>
  </si>
  <si>
    <t>s(2, 1, 4, 7)</t>
  </si>
  <si>
    <t>s(2, 1, 4, 8)</t>
  </si>
  <si>
    <t>s(2, 1, 4, 9)</t>
  </si>
  <si>
    <t>s(2, 1, 4, 12)</t>
  </si>
  <si>
    <t>s(2, 1, 5, 1)</t>
  </si>
  <si>
    <t>s(2, 1, 6, 1)</t>
  </si>
  <si>
    <t>s(2, 1, 6, 2)</t>
  </si>
  <si>
    <t>s(2, 1, 6, 3)</t>
  </si>
  <si>
    <t>s(2, 1, 6, 5)</t>
  </si>
  <si>
    <t>s(2, 1, 6, 6)</t>
  </si>
  <si>
    <t>s(2, 1, 6, 7)</t>
  </si>
  <si>
    <t>s(2, 1, 6, 8)</t>
  </si>
  <si>
    <t>s(2, 1, 6, 9)</t>
  </si>
  <si>
    <t>s(2, 1, 6, 11)</t>
  </si>
  <si>
    <t>s(2, 1, 6, 12)</t>
  </si>
  <si>
    <t>s(2, 1, 7, 1)</t>
  </si>
  <si>
    <t>s(2, 1, 8, 1)</t>
  </si>
  <si>
    <t>s(2, 1, 8, 2)</t>
  </si>
  <si>
    <t>s(2, 1, 8, 3)</t>
  </si>
  <si>
    <t>s(2, 1, 8, 5)</t>
  </si>
  <si>
    <t>s(2, 1, 8, 6)</t>
  </si>
  <si>
    <t>s(2, 1, 8, 7)</t>
  </si>
  <si>
    <t>s(2, 1, 8, 8)</t>
  </si>
  <si>
    <t>s(2, 1, 8, 9)</t>
  </si>
  <si>
    <t>s(2, 1, 8, 11)</t>
  </si>
  <si>
    <t>s(2, 1, 8, 12)</t>
  </si>
  <si>
    <t>s(2, 2, 2, 2)</t>
  </si>
  <si>
    <t>s(2, 2, 2, 3)</t>
  </si>
  <si>
    <t>s(2, 2, 2, 6)</t>
  </si>
  <si>
    <t>s(2, 2, 2, 7)</t>
  </si>
  <si>
    <t>s(2, 2, 2, 8)</t>
  </si>
  <si>
    <t>s(2, 2, 2, 9)</t>
  </si>
  <si>
    <t>s(2, 2, 2, 12)</t>
  </si>
  <si>
    <t>s(2, 2, 5, 2)</t>
  </si>
  <si>
    <t>s(2, 2, 5, 3)</t>
  </si>
  <si>
    <t>s(2, 2, 5, 5)</t>
  </si>
  <si>
    <t>s(2, 2, 5, 6)</t>
  </si>
  <si>
    <t>s(2, 2, 5, 7)</t>
  </si>
  <si>
    <t>s(2, 2, 5, 8)</t>
  </si>
  <si>
    <t>s(2, 2, 5, 9)</t>
  </si>
  <si>
    <t>s(2, 2, 5, 11)</t>
  </si>
  <si>
    <t>s(2, 2, 5, 12)</t>
  </si>
  <si>
    <t>s(2, 2, 7, 2)</t>
  </si>
  <si>
    <t>s(2, 2, 7, 3)</t>
  </si>
  <si>
    <t>s(2, 2, 7, 5)</t>
  </si>
  <si>
    <t>s(2, 2, 7, 6)</t>
  </si>
  <si>
    <t>s(2, 2, 7, 7)</t>
  </si>
  <si>
    <t>s(2, 2, 7, 8)</t>
  </si>
  <si>
    <t>s(2, 2, 7, 9)</t>
  </si>
  <si>
    <t>s(2, 2, 7, 11)</t>
  </si>
  <si>
    <t>s(2, 2, 7, 12)</t>
  </si>
  <si>
    <t>s(3, 1, 1, 1)</t>
  </si>
  <si>
    <t>s(3, 1, 1, 2)</t>
  </si>
  <si>
    <t>s(3, 1, 1, 3)</t>
  </si>
  <si>
    <t>s(3, 1, 1, 4)</t>
  </si>
  <si>
    <t>s(3, 1, 1, 5)</t>
  </si>
  <si>
    <t>s(3, 1, 1, 7)</t>
  </si>
  <si>
    <t>s(3, 1, 1, 8)</t>
  </si>
  <si>
    <t>s(3, 1, 1, 9)</t>
  </si>
  <si>
    <t>s(3, 1, 1, 10)</t>
  </si>
  <si>
    <t>s(3, 1, 1, 11)</t>
  </si>
  <si>
    <t>s(3, 1, 2, 1)</t>
  </si>
  <si>
    <t>s(3, 1, 3, 1)</t>
  </si>
  <si>
    <t>s(3, 1, 3, 2)</t>
  </si>
  <si>
    <t>s(3, 1, 3, 3)</t>
  </si>
  <si>
    <t>s(3, 1, 3, 4)</t>
  </si>
  <si>
    <t>s(3, 1, 3, 5)</t>
  </si>
  <si>
    <t>s(3, 1, 3, 7)</t>
  </si>
  <si>
    <t>s(3, 1, 3, 8)</t>
  </si>
  <si>
    <t>s(3, 1, 3, 9)</t>
  </si>
  <si>
    <t>s(3, 1, 3, 10)</t>
  </si>
  <si>
    <t>s(3, 1, 3, 11)</t>
  </si>
  <si>
    <t>s(3, 1, 4, 1)</t>
  </si>
  <si>
    <t>s(3, 1, 4, 2)</t>
  </si>
  <si>
    <t>s(3, 1, 4, 3)</t>
  </si>
  <si>
    <t>s(3, 1, 4, 4)</t>
  </si>
  <si>
    <t>s(3, 1, 4, 5)</t>
  </si>
  <si>
    <t>s(3, 1, 4, 7)</t>
  </si>
  <si>
    <t>s(3, 1, 4, 8)</t>
  </si>
  <si>
    <t>s(3, 1, 4, 9)</t>
  </si>
  <si>
    <t>s(3, 1, 4, 10)</t>
  </si>
  <si>
    <t>s(3, 1, 4, 11)</t>
  </si>
  <si>
    <t>s(3, 1, 5, 1)</t>
  </si>
  <si>
    <t>s(3, 1, 6, 1)</t>
  </si>
  <si>
    <t>s(3, 1, 7, 1)</t>
  </si>
  <si>
    <t>s(3, 1, 8, 1)</t>
  </si>
  <si>
    <t>s(3, 1, 8, 2)</t>
  </si>
  <si>
    <t>s(3, 1, 8, 3)</t>
  </si>
  <si>
    <t>s(3, 1, 8, 4)</t>
  </si>
  <si>
    <t>s(3, 1, 8, 7)</t>
  </si>
  <si>
    <t>s(3, 1, 8, 8)</t>
  </si>
  <si>
    <t>s(3, 1, 8, 9)</t>
  </si>
  <si>
    <t>s(3, 1, 8, 10)</t>
  </si>
  <si>
    <t>s(3, 2, 2, 2)</t>
  </si>
  <si>
    <t>s(3, 2, 2, 3)</t>
  </si>
  <si>
    <t>s(3, 2, 2, 4)</t>
  </si>
  <si>
    <t>s(3, 2, 2, 5)</t>
  </si>
  <si>
    <t>s(3, 2, 2, 7)</t>
  </si>
  <si>
    <t>s(3, 2, 2, 8)</t>
  </si>
  <si>
    <t>s(3, 2, 2, 9)</t>
  </si>
  <si>
    <t>s(3, 2, 2, 10)</t>
  </si>
  <si>
    <t>s(3, 2, 2, 11)</t>
  </si>
  <si>
    <t>s(3, 2, 5, 2)</t>
  </si>
  <si>
    <t>s(3, 2, 5, 3)</t>
  </si>
  <si>
    <t>s(3, 2, 5, 4)</t>
  </si>
  <si>
    <t>s(3, 2, 5, 7)</t>
  </si>
  <si>
    <t>s(3, 2, 5, 8)</t>
  </si>
  <si>
    <t>s(3, 2, 5, 9)</t>
  </si>
  <si>
    <t>s(3, 2, 5, 10)</t>
  </si>
  <si>
    <t>s(3, 2, 6, 2)</t>
  </si>
  <si>
    <t>s(3, 2, 6, 3)</t>
  </si>
  <si>
    <t>s(3, 2, 6, 4)</t>
  </si>
  <si>
    <t>s(3, 2, 6, 7)</t>
  </si>
  <si>
    <t>s(3, 2, 6, 8)</t>
  </si>
  <si>
    <t>s(3, 2, 6, 9)</t>
  </si>
  <si>
    <t>s(3, 2, 6, 10)</t>
  </si>
  <si>
    <t>s(3, 2, 7, 2)</t>
  </si>
  <si>
    <t>s(3, 2, 7, 3)</t>
  </si>
  <si>
    <t>s(3, 2, 7, 4)</t>
  </si>
  <si>
    <t>s(3, 2, 7, 7)</t>
  </si>
  <si>
    <t>s(3, 2, 7, 8)</t>
  </si>
  <si>
    <t>s(3, 2, 7, 9)</t>
  </si>
  <si>
    <t>s(3, 2, 7, 10)</t>
  </si>
  <si>
    <t>s(4, 1, 1, 1)</t>
  </si>
  <si>
    <t>s(4, 1, 1, 2)</t>
  </si>
  <si>
    <t>s(4, 1, 1, 3)</t>
  </si>
  <si>
    <t>s(4, 1, 1, 4)</t>
  </si>
  <si>
    <t>s(4, 1, 1, 5)</t>
  </si>
  <si>
    <t>s(4, 1, 1, 6)</t>
  </si>
  <si>
    <t>s(4, 1, 1, 7)</t>
  </si>
  <si>
    <t>s(4, 1, 1, 8)</t>
  </si>
  <si>
    <t>s(4, 1, 1, 9)</t>
  </si>
  <si>
    <t>s(4, 1, 1, 10)</t>
  </si>
  <si>
    <t>s(4, 1, 1, 11)</t>
  </si>
  <si>
    <t>s(4, 1, 1, 12)</t>
  </si>
  <si>
    <t>s(4, 1, 2, 1)</t>
  </si>
  <si>
    <t>s(4, 1, 3, 1)</t>
  </si>
  <si>
    <t>s(4, 1, 3, 2)</t>
  </si>
  <si>
    <t>s(4, 1, 3, 3)</t>
  </si>
  <si>
    <t>s(4, 1, 3, 4)</t>
  </si>
  <si>
    <t>s(4, 1, 3, 5)</t>
  </si>
  <si>
    <t>s(4, 1, 3, 6)</t>
  </si>
  <si>
    <t>s(4, 1, 3, 7)</t>
  </si>
  <si>
    <t>s(4, 1, 3, 8)</t>
  </si>
  <si>
    <t>s(4, 1, 3, 9)</t>
  </si>
  <si>
    <t>s(4, 1, 3, 10)</t>
  </si>
  <si>
    <t>s(4, 1, 3, 11)</t>
  </si>
  <si>
    <t>s(4, 1, 3, 12)</t>
  </si>
  <si>
    <t>s(4, 1, 4, 1)</t>
  </si>
  <si>
    <t>s(4, 1, 4, 2)</t>
  </si>
  <si>
    <t>s(4, 1, 4, 3)</t>
  </si>
  <si>
    <t>s(4, 1, 4, 4)</t>
  </si>
  <si>
    <t>s(4, 1, 4, 5)</t>
  </si>
  <si>
    <t>s(4, 1, 4, 6)</t>
  </si>
  <si>
    <t>s(4, 1, 4, 7)</t>
  </si>
  <si>
    <t>s(4, 1, 4, 8)</t>
  </si>
  <si>
    <t>s(4, 1, 4, 9)</t>
  </si>
  <si>
    <t>s(4, 1, 4, 10)</t>
  </si>
  <si>
    <t>s(4, 1, 4, 11)</t>
  </si>
  <si>
    <t>s(4, 1, 4, 12)</t>
  </si>
  <si>
    <t>s(4, 1, 5, 1)</t>
  </si>
  <si>
    <t>s(4, 1, 6, 1)</t>
  </si>
  <si>
    <t>s(4, 1, 6, 2)</t>
  </si>
  <si>
    <t>s(4, 1, 6, 3)</t>
  </si>
  <si>
    <t>s(4, 1, 6, 4)</t>
  </si>
  <si>
    <t>s(4, 1, 6, 5)</t>
  </si>
  <si>
    <t>s(4, 1, 6, 6)</t>
  </si>
  <si>
    <t>s(4, 1, 6, 7)</t>
  </si>
  <si>
    <t>s(4, 1, 6, 8)</t>
  </si>
  <si>
    <t>s(4, 1, 6, 9)</t>
  </si>
  <si>
    <t>s(4, 1, 6, 10)</t>
  </si>
  <si>
    <t>s(4, 1, 6, 11)</t>
  </si>
  <si>
    <t>s(4, 1, 6, 12)</t>
  </si>
  <si>
    <t>s(4, 1, 7, 1)</t>
  </si>
  <si>
    <t>s(4, 1, 8, 1)</t>
  </si>
  <si>
    <t>s(4, 1, 8, 2)</t>
  </si>
  <si>
    <t>s(4, 1, 8, 3)</t>
  </si>
  <si>
    <t>s(4, 1, 8, 4)</t>
  </si>
  <si>
    <t>s(4, 1, 8, 5)</t>
  </si>
  <si>
    <t>s(4, 1, 8, 6)</t>
  </si>
  <si>
    <t>s(4, 1, 8, 7)</t>
  </si>
  <si>
    <t>s(4, 1, 8, 8)</t>
  </si>
  <si>
    <t>s(4, 1, 8, 9)</t>
  </si>
  <si>
    <t>s(4, 1, 8, 10)</t>
  </si>
  <si>
    <t>s(4, 1, 8, 11)</t>
  </si>
  <si>
    <t>s(4, 1, 8, 12)</t>
  </si>
  <si>
    <t>s(4, 2, 2, 2)</t>
  </si>
  <si>
    <t>s(4, 2, 2, 3)</t>
  </si>
  <si>
    <t>s(4, 2, 2, 4)</t>
  </si>
  <si>
    <t>s(4, 2, 2, 5)</t>
  </si>
  <si>
    <t>s(4, 2, 2, 6)</t>
  </si>
  <si>
    <t>s(4, 2, 2, 7)</t>
  </si>
  <si>
    <t>s(4, 2, 2, 8)</t>
  </si>
  <si>
    <t>s(4, 2, 2, 9)</t>
  </si>
  <si>
    <t>s(4, 2, 2, 10)</t>
  </si>
  <si>
    <t>s(4, 2, 2, 11)</t>
  </si>
  <si>
    <t>s(4, 2, 2, 12)</t>
  </si>
  <si>
    <t>s(4, 2, 5, 2)</t>
  </si>
  <si>
    <t>s(4, 2, 5, 3)</t>
  </si>
  <si>
    <t>s(4, 2, 5, 4)</t>
  </si>
  <si>
    <t>s(4, 2, 5, 5)</t>
  </si>
  <si>
    <t>s(4, 2, 5, 6)</t>
  </si>
  <si>
    <t>s(4, 2, 5, 7)</t>
  </si>
  <si>
    <t>s(4, 2, 5, 8)</t>
  </si>
  <si>
    <t>s(4, 2, 5, 9)</t>
  </si>
  <si>
    <t>s(4, 2, 5, 10)</t>
  </si>
  <si>
    <t>s(4, 2, 5, 11)</t>
  </si>
  <si>
    <t>s(4, 2, 5, 12)</t>
  </si>
  <si>
    <t>s(4, 2, 7, 2)</t>
  </si>
  <si>
    <t>s(4, 2, 7, 3)</t>
  </si>
  <si>
    <t>s(4, 2, 7, 4)</t>
  </si>
  <si>
    <t>s(4, 2, 7, 5)</t>
  </si>
  <si>
    <t>s(4, 2, 7, 6)</t>
  </si>
  <si>
    <t>s(4, 2, 7, 7)</t>
  </si>
  <si>
    <t>s(4, 2, 7, 8)</t>
  </si>
  <si>
    <t>s(4, 2, 7, 9)</t>
  </si>
  <si>
    <t>s(4, 2, 7, 10)</t>
  </si>
  <si>
    <t>s(4, 2, 7, 11)</t>
  </si>
  <si>
    <t>s(4, 2, 7, 12)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</si>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</sst>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_-;\-* #,##0_-;_-* &quot;-&quot;??_-;_-@_-"/>
    <numFmt numFmtId="165" formatCode="_-&quot;$&quot;\ * #,##0_-;\-&quot;$&quot;\ * #,##0_-;_-&quot;$&quot;\ * &quot;-&quot;??_-;_-@_-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rgb="FFFFFFFF"/>
      </patternFill>
    </fill>
    <fill>
      <patternFill patternType="solid">
        <fgColor rgb="FF92D050"/>
        <bgColor rgb="FFFFFFFF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/>
    <xf numFmtId="44" fontId="2" fillId="0" borderId="0"/>
    <xf numFmtId="9" fontId="2" fillId="0" borderId="0"/>
  </cellStyleXfs>
  <cellXfs count="52">
    <xf numFmtId="0" fontId="0" fillId="0" borderId="0" xfId="0"/>
    <xf numFmtId="0" fontId="0" fillId="0" borderId="1" xfId="0" applyBorder="1"/>
    <xf numFmtId="3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3" borderId="1" xfId="0" applyFill="1" applyBorder="1"/>
    <xf numFmtId="1" fontId="0" fillId="3" borderId="1" xfId="0" applyNumberFormat="1" applyFill="1" applyBorder="1" applyProtection="1">
      <protection locked="0"/>
    </xf>
    <xf numFmtId="0" fontId="1" fillId="3" borderId="1" xfId="0" applyFont="1" applyFill="1" applyBorder="1"/>
    <xf numFmtId="0" fontId="1" fillId="4" borderId="2" xfId="0" applyFont="1" applyFill="1" applyBorder="1"/>
    <xf numFmtId="0" fontId="1" fillId="5" borderId="1" xfId="0" applyFont="1" applyFill="1" applyBorder="1"/>
    <xf numFmtId="2" fontId="1" fillId="3" borderId="1" xfId="0" applyNumberFormat="1" applyFont="1" applyFill="1" applyBorder="1"/>
    <xf numFmtId="164" fontId="0" fillId="0" borderId="1" xfId="1" applyNumberFormat="1" applyFont="1" applyBorder="1" applyAlignment="1">
      <alignment horizontal="center" vertical="center"/>
    </xf>
    <xf numFmtId="164" fontId="0" fillId="0" borderId="1" xfId="1" applyNumberFormat="1" applyFont="1" applyBorder="1"/>
    <xf numFmtId="165" fontId="2" fillId="0" borderId="1" xfId="2" applyNumberFormat="1" applyBorder="1"/>
    <xf numFmtId="9" fontId="0" fillId="0" borderId="1" xfId="3" applyFont="1" applyBorder="1"/>
    <xf numFmtId="164" fontId="2" fillId="0" borderId="1" xfId="1" applyNumberFormat="1" applyBorder="1"/>
    <xf numFmtId="0" fontId="0" fillId="0" borderId="0" xfId="0"/>
    <xf numFmtId="9" fontId="2" fillId="0" borderId="1" xfId="3" applyBorder="1"/>
    <xf numFmtId="0" fontId="1" fillId="0" borderId="0" xfId="0" applyFont="1"/>
    <xf numFmtId="0" fontId="0" fillId="2" borderId="3" xfId="0" applyFill="1" applyBorder="1"/>
    <xf numFmtId="49" fontId="0" fillId="3" borderId="3" xfId="0" applyNumberFormat="1" applyFill="1" applyBorder="1"/>
    <xf numFmtId="0" fontId="0" fillId="2" borderId="17" xfId="0" applyFill="1" applyBorder="1"/>
    <xf numFmtId="0" fontId="0" fillId="2" borderId="18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3" xfId="0" applyFill="1" applyBorder="1" applyAlignment="1">
      <alignment horizontal="center" vertical="center"/>
    </xf>
    <xf numFmtId="0" fontId="0" fillId="2" borderId="1" xfId="0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0" fillId="0" borderId="21" xfId="0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O484"/>
  <sheetViews>
    <sheetView tabSelected="1" topLeftCell="A13" workbookViewId="0">
      <selection activeCell="D20" sqref="D20:D35"/>
    </sheetView>
  </sheetViews>
  <sheetFormatPr baseColWidth="10" defaultColWidth="9.140625" defaultRowHeight="15" x14ac:dyDescent="0.25"/>
  <cols>
    <col min="1" max="1" width="11.42578125" style="29" bestFit="1" customWidth="1"/>
    <col min="2" max="2" width="9.85546875" style="29" bestFit="1" customWidth="1"/>
    <col min="3" max="3" width="10" style="29" bestFit="1" customWidth="1"/>
    <col min="4" max="4" width="10.7109375" style="29" bestFit="1" customWidth="1"/>
    <col min="7" max="7" width="11.42578125" style="29" bestFit="1" customWidth="1"/>
    <col min="14" max="14" width="9.5703125" style="29" customWidth="1"/>
    <col min="15" max="15" width="11.42578125" style="29" bestFit="1" customWidth="1"/>
    <col min="19" max="19" width="11.28515625" style="29" customWidth="1"/>
    <col min="20" max="20" width="10.140625" style="29" bestFit="1" customWidth="1"/>
    <col min="21" max="21" width="10" style="29" bestFit="1" customWidth="1"/>
    <col min="22" max="22" width="9.7109375" style="29" bestFit="1" customWidth="1"/>
    <col min="24" max="25" width="11.28515625" style="29" customWidth="1"/>
    <col min="26" max="26" width="10.85546875" style="29" customWidth="1"/>
    <col min="29" max="29" width="11.42578125" style="29" customWidth="1"/>
    <col min="30" max="30" width="10" style="29" bestFit="1" customWidth="1"/>
    <col min="37" max="37" width="19.7109375" style="29" bestFit="1" customWidth="1"/>
    <col min="40" max="40" width="16.42578125" style="29" bestFit="1" customWidth="1"/>
  </cols>
  <sheetData>
    <row r="2" spans="1:41" x14ac:dyDescent="0.25">
      <c r="A2" s="46" t="s">
        <v>0</v>
      </c>
      <c r="B2" s="48"/>
      <c r="C2" s="48"/>
      <c r="D2" s="47"/>
      <c r="F2" s="46" t="s">
        <v>1</v>
      </c>
      <c r="G2" s="48"/>
      <c r="H2" s="47"/>
      <c r="J2" s="46" t="s">
        <v>2</v>
      </c>
      <c r="K2" s="48"/>
      <c r="L2" s="47"/>
      <c r="N2" s="46" t="s">
        <v>3</v>
      </c>
      <c r="O2" s="48"/>
      <c r="P2" s="48"/>
      <c r="Q2" s="47"/>
      <c r="S2" s="41" t="s">
        <v>4</v>
      </c>
      <c r="T2" s="43"/>
      <c r="U2" s="43"/>
      <c r="V2" s="42"/>
      <c r="X2" s="46" t="s">
        <v>5</v>
      </c>
      <c r="Y2" s="48"/>
      <c r="Z2" s="48"/>
      <c r="AA2" s="47"/>
      <c r="AC2" s="46" t="s">
        <v>6</v>
      </c>
      <c r="AD2" s="48"/>
      <c r="AE2" s="47"/>
      <c r="AG2" s="46" t="s">
        <v>7</v>
      </c>
      <c r="AH2" s="48"/>
      <c r="AI2" s="47"/>
      <c r="AK2" s="46" t="s">
        <v>8</v>
      </c>
      <c r="AL2" s="47"/>
      <c r="AN2" s="41" t="s">
        <v>9</v>
      </c>
      <c r="AO2" s="18">
        <v>5000</v>
      </c>
    </row>
    <row r="3" spans="1:41" x14ac:dyDescent="0.25">
      <c r="A3" s="41" t="s">
        <v>10</v>
      </c>
      <c r="B3" s="41" t="s">
        <v>11</v>
      </c>
      <c r="C3" s="41" t="s">
        <v>12</v>
      </c>
      <c r="D3" s="41" t="s">
        <v>13</v>
      </c>
      <c r="F3" s="41" t="s">
        <v>11</v>
      </c>
      <c r="G3" s="41" t="s">
        <v>10</v>
      </c>
      <c r="H3" s="41" t="s">
        <v>14</v>
      </c>
      <c r="J3" s="41" t="s">
        <v>11</v>
      </c>
      <c r="K3" s="41" t="s">
        <v>10</v>
      </c>
      <c r="L3" s="41" t="s">
        <v>15</v>
      </c>
      <c r="N3" s="41" t="s">
        <v>11</v>
      </c>
      <c r="O3" s="41" t="s">
        <v>10</v>
      </c>
      <c r="P3" s="41" t="s">
        <v>12</v>
      </c>
      <c r="Q3" s="21" t="s">
        <v>16</v>
      </c>
      <c r="S3" s="41" t="s">
        <v>10</v>
      </c>
      <c r="T3" s="41" t="s">
        <v>17</v>
      </c>
      <c r="U3" s="41" t="s">
        <v>12</v>
      </c>
      <c r="V3" s="41" t="s">
        <v>18</v>
      </c>
      <c r="X3" s="41" t="s">
        <v>10</v>
      </c>
      <c r="Y3" s="41" t="s">
        <v>17</v>
      </c>
      <c r="Z3" s="41" t="s">
        <v>19</v>
      </c>
      <c r="AA3" s="41" t="s">
        <v>20</v>
      </c>
      <c r="AC3" s="41" t="s">
        <v>10</v>
      </c>
      <c r="AD3" s="41" t="s">
        <v>12</v>
      </c>
      <c r="AE3" s="41" t="s">
        <v>21</v>
      </c>
      <c r="AG3" s="41" t="s">
        <v>10</v>
      </c>
      <c r="AH3" s="41" t="s">
        <v>12</v>
      </c>
      <c r="AI3" s="41" t="s">
        <v>22</v>
      </c>
      <c r="AK3" s="41" t="s">
        <v>10</v>
      </c>
      <c r="AL3" s="41" t="s">
        <v>23</v>
      </c>
    </row>
    <row r="4" spans="1:41" x14ac:dyDescent="0.25">
      <c r="A4" s="1">
        <v>1</v>
      </c>
      <c r="B4" s="1">
        <v>1</v>
      </c>
      <c r="C4" s="1">
        <v>1</v>
      </c>
      <c r="D4" s="20">
        <v>3</v>
      </c>
      <c r="F4" s="1">
        <v>1</v>
      </c>
      <c r="G4" s="1">
        <v>1</v>
      </c>
      <c r="H4" s="19">
        <v>50</v>
      </c>
      <c r="J4" s="1">
        <v>1</v>
      </c>
      <c r="K4" s="1">
        <v>1</v>
      </c>
      <c r="L4" s="20">
        <v>4000</v>
      </c>
      <c r="N4" s="1">
        <v>1</v>
      </c>
      <c r="O4" s="1">
        <v>1</v>
      </c>
      <c r="P4" s="1">
        <v>1</v>
      </c>
      <c r="Q4" s="18">
        <v>4.5</v>
      </c>
      <c r="S4" s="1">
        <v>1</v>
      </c>
      <c r="T4" s="1">
        <v>1</v>
      </c>
      <c r="U4" s="1">
        <v>1</v>
      </c>
      <c r="V4" s="23">
        <v>0.8999999999996362</v>
      </c>
      <c r="X4" s="1">
        <v>1</v>
      </c>
      <c r="Y4" s="1">
        <v>1</v>
      </c>
      <c r="Z4" s="1">
        <v>1</v>
      </c>
      <c r="AA4" s="18">
        <v>1400</v>
      </c>
      <c r="AC4" s="1">
        <v>1</v>
      </c>
      <c r="AD4" s="1">
        <v>1</v>
      </c>
      <c r="AE4" s="22">
        <v>0.35</v>
      </c>
      <c r="AG4" s="1">
        <v>1</v>
      </c>
      <c r="AH4" s="1">
        <v>1</v>
      </c>
      <c r="AI4" s="18">
        <v>20000</v>
      </c>
      <c r="AK4" s="1">
        <v>1</v>
      </c>
      <c r="AL4" s="18">
        <v>200</v>
      </c>
    </row>
    <row r="5" spans="1:41" x14ac:dyDescent="0.25">
      <c r="A5" s="1">
        <v>2</v>
      </c>
      <c r="B5" s="1">
        <v>1</v>
      </c>
      <c r="C5" s="1">
        <v>1</v>
      </c>
      <c r="D5" s="20">
        <v>4</v>
      </c>
      <c r="F5" s="1">
        <v>2</v>
      </c>
      <c r="G5" s="1">
        <v>1</v>
      </c>
      <c r="H5" s="19">
        <v>55</v>
      </c>
      <c r="J5" s="1">
        <v>2</v>
      </c>
      <c r="K5" s="1">
        <v>1</v>
      </c>
      <c r="L5" s="20">
        <v>4000</v>
      </c>
      <c r="N5" s="1">
        <v>2</v>
      </c>
      <c r="O5" s="1">
        <v>1</v>
      </c>
      <c r="P5" s="1">
        <v>1</v>
      </c>
      <c r="Q5" s="22">
        <v>5.806451612903226</v>
      </c>
      <c r="S5" s="1">
        <v>2</v>
      </c>
      <c r="T5" s="1">
        <v>1</v>
      </c>
      <c r="U5" s="1">
        <v>1</v>
      </c>
      <c r="V5" s="23">
        <v>0.8999999999996362</v>
      </c>
      <c r="X5" s="1">
        <v>2</v>
      </c>
      <c r="Y5" s="1">
        <v>1</v>
      </c>
      <c r="Z5" s="1">
        <v>1</v>
      </c>
      <c r="AA5" s="18">
        <v>400</v>
      </c>
      <c r="AC5" s="1">
        <v>2</v>
      </c>
      <c r="AD5" s="1">
        <v>1</v>
      </c>
      <c r="AE5" s="22">
        <v>0.4</v>
      </c>
      <c r="AG5" s="1">
        <v>2</v>
      </c>
      <c r="AH5" s="1">
        <v>1</v>
      </c>
      <c r="AI5" s="18">
        <v>20000</v>
      </c>
      <c r="AK5" s="1">
        <v>2</v>
      </c>
      <c r="AL5" s="18">
        <v>150</v>
      </c>
    </row>
    <row r="6" spans="1:41" x14ac:dyDescent="0.25">
      <c r="A6" s="1">
        <v>3</v>
      </c>
      <c r="B6" s="1">
        <v>1</v>
      </c>
      <c r="C6" s="1">
        <v>1</v>
      </c>
      <c r="D6" s="20">
        <v>10</v>
      </c>
      <c r="F6" s="1">
        <v>3</v>
      </c>
      <c r="G6" s="1">
        <v>1</v>
      </c>
      <c r="H6" s="19">
        <v>52</v>
      </c>
      <c r="J6" s="1">
        <v>3</v>
      </c>
      <c r="K6" s="1">
        <v>1</v>
      </c>
      <c r="L6" s="20">
        <v>3000</v>
      </c>
      <c r="N6" s="1">
        <v>3</v>
      </c>
      <c r="O6" s="1">
        <v>1</v>
      </c>
      <c r="P6" s="1">
        <v>1</v>
      </c>
      <c r="Q6" s="22">
        <v>7.1999999999999993</v>
      </c>
      <c r="S6" s="1">
        <v>3</v>
      </c>
      <c r="T6" s="1">
        <v>1</v>
      </c>
      <c r="U6" s="1">
        <v>1</v>
      </c>
      <c r="V6" s="23">
        <v>0.8999999999996362</v>
      </c>
      <c r="X6" s="1">
        <v>3</v>
      </c>
      <c r="Y6" s="1">
        <v>1</v>
      </c>
      <c r="Z6" s="1">
        <v>1</v>
      </c>
      <c r="AA6" s="18">
        <v>100</v>
      </c>
      <c r="AC6" s="1">
        <v>3</v>
      </c>
      <c r="AD6" s="1">
        <v>1</v>
      </c>
      <c r="AE6" s="22">
        <v>0.7</v>
      </c>
      <c r="AG6" s="1">
        <v>3</v>
      </c>
      <c r="AH6" s="1">
        <v>1</v>
      </c>
      <c r="AI6" s="18">
        <v>20000</v>
      </c>
      <c r="AK6" s="1">
        <v>3</v>
      </c>
      <c r="AL6" s="18">
        <v>100</v>
      </c>
    </row>
    <row r="7" spans="1:41" x14ac:dyDescent="0.25">
      <c r="A7" s="1">
        <v>4</v>
      </c>
      <c r="B7" s="1">
        <v>1</v>
      </c>
      <c r="C7" s="1">
        <v>1</v>
      </c>
      <c r="D7" s="20">
        <v>2</v>
      </c>
      <c r="F7" s="1">
        <v>4</v>
      </c>
      <c r="G7" s="1">
        <v>1</v>
      </c>
      <c r="H7" s="19">
        <v>60</v>
      </c>
      <c r="J7" s="1">
        <v>4</v>
      </c>
      <c r="K7" s="1">
        <v>1</v>
      </c>
      <c r="L7" s="20">
        <v>3000</v>
      </c>
      <c r="N7" s="1">
        <v>4</v>
      </c>
      <c r="O7" s="1">
        <v>1</v>
      </c>
      <c r="P7" s="1">
        <v>1</v>
      </c>
      <c r="Q7" s="22">
        <v>6.44</v>
      </c>
      <c r="S7" s="1">
        <v>4</v>
      </c>
      <c r="T7" s="1">
        <v>1</v>
      </c>
      <c r="U7" s="1">
        <v>1</v>
      </c>
      <c r="V7" s="23">
        <v>0.8999999999996362</v>
      </c>
      <c r="X7" s="1">
        <v>4</v>
      </c>
      <c r="Y7" s="1">
        <v>1</v>
      </c>
      <c r="Z7" s="1">
        <v>1</v>
      </c>
      <c r="AA7" s="18">
        <v>300</v>
      </c>
      <c r="AC7" s="1">
        <v>4</v>
      </c>
      <c r="AD7" s="1">
        <v>1</v>
      </c>
      <c r="AE7" s="22">
        <v>0.5</v>
      </c>
      <c r="AG7" s="1">
        <v>4</v>
      </c>
      <c r="AH7" s="1">
        <v>1</v>
      </c>
      <c r="AI7" s="18">
        <v>20000</v>
      </c>
      <c r="AK7" s="1">
        <v>4</v>
      </c>
      <c r="AL7" s="18">
        <v>300</v>
      </c>
    </row>
    <row r="8" spans="1:41" x14ac:dyDescent="0.25">
      <c r="A8" s="1">
        <v>1</v>
      </c>
      <c r="B8" s="1">
        <v>2</v>
      </c>
      <c r="C8" s="1">
        <v>1</v>
      </c>
      <c r="D8" s="20">
        <v>3</v>
      </c>
      <c r="F8" s="1">
        <v>1</v>
      </c>
      <c r="G8" s="1">
        <v>2</v>
      </c>
      <c r="H8" s="19">
        <v>100</v>
      </c>
      <c r="J8" s="1">
        <v>1</v>
      </c>
      <c r="K8" s="1">
        <v>2</v>
      </c>
      <c r="L8" s="20">
        <v>4000</v>
      </c>
      <c r="N8" s="1">
        <v>1</v>
      </c>
      <c r="O8" s="1">
        <v>2</v>
      </c>
      <c r="P8" s="1">
        <v>1</v>
      </c>
      <c r="Q8" s="18">
        <v>4.5</v>
      </c>
      <c r="S8" s="1">
        <v>1</v>
      </c>
      <c r="T8" s="1">
        <v>2</v>
      </c>
      <c r="U8" s="1">
        <v>1</v>
      </c>
      <c r="V8" s="23">
        <v>199.55000000000021</v>
      </c>
      <c r="X8" s="1">
        <v>1</v>
      </c>
      <c r="Y8" s="1">
        <v>1</v>
      </c>
      <c r="Z8" s="1">
        <v>2</v>
      </c>
      <c r="AA8" s="18">
        <v>800</v>
      </c>
      <c r="AC8" s="1">
        <v>1</v>
      </c>
      <c r="AD8" s="1">
        <v>2</v>
      </c>
      <c r="AE8" s="22">
        <v>0.25</v>
      </c>
      <c r="AF8" t="str">
        <f>REPLACE(AE8,2,1,".")</f>
        <v>0.25</v>
      </c>
      <c r="AG8" s="1">
        <v>1</v>
      </c>
      <c r="AH8" s="1">
        <v>2</v>
      </c>
      <c r="AI8" s="18">
        <v>20000</v>
      </c>
    </row>
    <row r="9" spans="1:41" x14ac:dyDescent="0.25">
      <c r="A9" s="1">
        <v>2</v>
      </c>
      <c r="B9" s="1">
        <v>2</v>
      </c>
      <c r="C9" s="1">
        <v>1</v>
      </c>
      <c r="D9" s="20">
        <v>3</v>
      </c>
      <c r="F9" s="1">
        <v>2</v>
      </c>
      <c r="G9" s="1">
        <v>2</v>
      </c>
      <c r="H9" s="19">
        <v>110</v>
      </c>
      <c r="J9" s="1">
        <v>2</v>
      </c>
      <c r="K9" s="1">
        <v>2</v>
      </c>
      <c r="L9" s="20">
        <v>2000</v>
      </c>
      <c r="N9" s="1">
        <v>2</v>
      </c>
      <c r="O9" s="1">
        <v>2</v>
      </c>
      <c r="P9" s="1">
        <v>1</v>
      </c>
      <c r="Q9" s="22">
        <v>5.806451612903226</v>
      </c>
      <c r="S9" s="1">
        <v>2</v>
      </c>
      <c r="T9" s="1">
        <v>2</v>
      </c>
      <c r="U9" s="1">
        <v>1</v>
      </c>
      <c r="V9" s="23">
        <v>199.55000000000021</v>
      </c>
      <c r="X9" s="1">
        <v>2</v>
      </c>
      <c r="Y9" s="1">
        <v>1</v>
      </c>
      <c r="Z9" s="1">
        <v>2</v>
      </c>
      <c r="AA9" s="18">
        <v>600</v>
      </c>
      <c r="AC9" s="1">
        <v>2</v>
      </c>
      <c r="AD9" s="1">
        <v>2</v>
      </c>
      <c r="AE9" s="22">
        <v>0.2</v>
      </c>
      <c r="AF9" s="29" t="str">
        <f t="shared" ref="AF9:AF11" si="0">REPLACE(AE9,2,1,".")</f>
        <v>0.2</v>
      </c>
      <c r="AG9" s="1">
        <v>2</v>
      </c>
      <c r="AH9" s="1">
        <v>2</v>
      </c>
      <c r="AI9" s="18">
        <v>20000</v>
      </c>
    </row>
    <row r="10" spans="1:41" x14ac:dyDescent="0.25">
      <c r="A10" s="1">
        <v>3</v>
      </c>
      <c r="B10" s="1">
        <v>2</v>
      </c>
      <c r="C10" s="1">
        <v>1</v>
      </c>
      <c r="D10" s="20">
        <v>12</v>
      </c>
      <c r="F10" s="1">
        <v>3</v>
      </c>
      <c r="G10" s="1">
        <v>2</v>
      </c>
      <c r="H10" s="19">
        <v>110</v>
      </c>
      <c r="J10" s="1">
        <v>3</v>
      </c>
      <c r="K10" s="1">
        <v>2</v>
      </c>
      <c r="L10" s="20">
        <v>4000</v>
      </c>
      <c r="N10" s="1">
        <v>3</v>
      </c>
      <c r="O10" s="1">
        <v>2</v>
      </c>
      <c r="P10" s="1">
        <v>1</v>
      </c>
      <c r="Q10" s="22">
        <v>7.1999999999999993</v>
      </c>
      <c r="S10" s="1">
        <v>3</v>
      </c>
      <c r="T10" s="1">
        <v>2</v>
      </c>
      <c r="U10" s="1">
        <v>1</v>
      </c>
      <c r="V10" s="23">
        <v>199.55000000000021</v>
      </c>
      <c r="X10" s="1">
        <v>3</v>
      </c>
      <c r="Y10" s="1">
        <v>1</v>
      </c>
      <c r="Z10" s="1">
        <v>2</v>
      </c>
      <c r="AA10" s="18">
        <v>300</v>
      </c>
      <c r="AC10" s="1">
        <v>3</v>
      </c>
      <c r="AD10" s="1">
        <v>2</v>
      </c>
      <c r="AE10" s="22">
        <v>0.5</v>
      </c>
      <c r="AF10" s="29" t="str">
        <f t="shared" si="0"/>
        <v>0.5</v>
      </c>
      <c r="AG10" s="1">
        <v>3</v>
      </c>
      <c r="AH10" s="1">
        <v>2</v>
      </c>
      <c r="AI10" s="18">
        <v>20000</v>
      </c>
    </row>
    <row r="11" spans="1:41" x14ac:dyDescent="0.25">
      <c r="A11" s="1">
        <v>4</v>
      </c>
      <c r="B11" s="1">
        <v>2</v>
      </c>
      <c r="C11" s="1">
        <v>1</v>
      </c>
      <c r="D11" s="20">
        <v>2</v>
      </c>
      <c r="F11" s="1">
        <v>4</v>
      </c>
      <c r="G11" s="1">
        <v>2</v>
      </c>
      <c r="H11" s="19">
        <v>120</v>
      </c>
      <c r="J11" s="1">
        <v>4</v>
      </c>
      <c r="K11" s="1">
        <v>2</v>
      </c>
      <c r="L11" s="20">
        <v>3000</v>
      </c>
      <c r="N11" s="1">
        <v>4</v>
      </c>
      <c r="O11" s="1">
        <v>2</v>
      </c>
      <c r="P11" s="1">
        <v>1</v>
      </c>
      <c r="Q11" s="22">
        <v>6.44</v>
      </c>
      <c r="S11" s="1">
        <v>4</v>
      </c>
      <c r="T11" s="1">
        <v>2</v>
      </c>
      <c r="U11" s="1">
        <v>1</v>
      </c>
      <c r="V11" s="23">
        <v>199.55000000000021</v>
      </c>
      <c r="X11" s="1">
        <v>4</v>
      </c>
      <c r="Y11" s="1">
        <v>1</v>
      </c>
      <c r="Z11" s="1">
        <v>2</v>
      </c>
      <c r="AA11" s="18">
        <v>210</v>
      </c>
      <c r="AC11" s="1">
        <v>4</v>
      </c>
      <c r="AD11" s="1">
        <v>2</v>
      </c>
      <c r="AE11" s="22">
        <v>0.3</v>
      </c>
      <c r="AF11" s="29" t="str">
        <f t="shared" si="0"/>
        <v>0.3</v>
      </c>
      <c r="AG11" s="1">
        <v>4</v>
      </c>
      <c r="AH11" s="1">
        <v>2</v>
      </c>
      <c r="AI11" s="18">
        <v>20000</v>
      </c>
    </row>
    <row r="12" spans="1:41" x14ac:dyDescent="0.25">
      <c r="A12" s="1">
        <v>1</v>
      </c>
      <c r="B12" s="1">
        <v>3</v>
      </c>
      <c r="C12" s="1">
        <v>1</v>
      </c>
      <c r="D12" s="20">
        <v>3</v>
      </c>
      <c r="F12" s="1">
        <v>1</v>
      </c>
      <c r="G12" s="1">
        <v>3</v>
      </c>
      <c r="H12" s="19">
        <v>300</v>
      </c>
      <c r="J12" s="1">
        <v>1</v>
      </c>
      <c r="K12" s="1">
        <v>3</v>
      </c>
      <c r="L12" s="20">
        <v>6000</v>
      </c>
      <c r="N12" s="1">
        <v>1</v>
      </c>
      <c r="O12" s="1">
        <v>3</v>
      </c>
      <c r="P12" s="1">
        <v>1</v>
      </c>
      <c r="Q12" s="18">
        <v>4.5</v>
      </c>
      <c r="S12" s="1">
        <v>1</v>
      </c>
      <c r="T12" s="1">
        <v>3</v>
      </c>
      <c r="U12" s="1">
        <v>1</v>
      </c>
      <c r="V12" s="23">
        <v>165.88000000000011</v>
      </c>
      <c r="X12" s="1">
        <v>1</v>
      </c>
      <c r="Y12" s="1">
        <v>1</v>
      </c>
      <c r="Z12" s="1">
        <v>3</v>
      </c>
      <c r="AA12" s="18">
        <v>600</v>
      </c>
    </row>
    <row r="13" spans="1:41" x14ac:dyDescent="0.25">
      <c r="A13" s="1">
        <v>2</v>
      </c>
      <c r="B13" s="1">
        <v>3</v>
      </c>
      <c r="C13" s="1">
        <v>1</v>
      </c>
      <c r="D13" s="20">
        <v>4</v>
      </c>
      <c r="F13" s="1">
        <v>2</v>
      </c>
      <c r="G13" s="1">
        <v>3</v>
      </c>
      <c r="H13" s="19">
        <v>310</v>
      </c>
      <c r="J13" s="1">
        <v>2</v>
      </c>
      <c r="K13" s="1">
        <v>3</v>
      </c>
      <c r="L13" s="20">
        <v>0</v>
      </c>
      <c r="N13" s="1">
        <v>2</v>
      </c>
      <c r="O13" s="1">
        <v>3</v>
      </c>
      <c r="P13" s="1">
        <v>1</v>
      </c>
      <c r="Q13" s="22">
        <v>5.806451612903226</v>
      </c>
      <c r="S13" s="1">
        <v>2</v>
      </c>
      <c r="T13" s="1">
        <v>3</v>
      </c>
      <c r="U13" s="1">
        <v>1</v>
      </c>
      <c r="V13" s="23">
        <v>165.88000000000011</v>
      </c>
      <c r="X13" s="1">
        <v>2</v>
      </c>
      <c r="Y13" s="1">
        <v>1</v>
      </c>
      <c r="Z13" s="1">
        <v>3</v>
      </c>
      <c r="AA13" s="18">
        <v>800</v>
      </c>
    </row>
    <row r="14" spans="1:41" x14ac:dyDescent="0.25">
      <c r="A14" s="1">
        <v>3</v>
      </c>
      <c r="B14" s="1">
        <v>3</v>
      </c>
      <c r="C14" s="1">
        <v>1</v>
      </c>
      <c r="D14" s="20">
        <v>10</v>
      </c>
      <c r="F14" s="1">
        <v>3</v>
      </c>
      <c r="G14" s="1">
        <v>3</v>
      </c>
      <c r="H14" s="19">
        <v>305</v>
      </c>
      <c r="J14" s="1">
        <v>3</v>
      </c>
      <c r="K14" s="1">
        <v>3</v>
      </c>
      <c r="L14" s="20">
        <v>4000</v>
      </c>
      <c r="N14" s="1">
        <v>3</v>
      </c>
      <c r="O14" s="1">
        <v>3</v>
      </c>
      <c r="P14" s="1">
        <v>1</v>
      </c>
      <c r="Q14" s="22">
        <v>7.1999999999999993</v>
      </c>
      <c r="S14" s="1">
        <v>3</v>
      </c>
      <c r="T14" s="1">
        <v>3</v>
      </c>
      <c r="U14" s="1">
        <v>1</v>
      </c>
      <c r="V14" s="23">
        <v>165.88000000000011</v>
      </c>
      <c r="X14" s="1">
        <v>3</v>
      </c>
      <c r="Y14" s="1">
        <v>1</v>
      </c>
      <c r="Z14" s="1">
        <v>3</v>
      </c>
      <c r="AA14" s="18">
        <v>600</v>
      </c>
    </row>
    <row r="15" spans="1:41" x14ac:dyDescent="0.25">
      <c r="A15" s="1">
        <v>4</v>
      </c>
      <c r="B15" s="1">
        <v>3</v>
      </c>
      <c r="C15" s="1">
        <v>1</v>
      </c>
      <c r="D15" s="20">
        <v>3</v>
      </c>
      <c r="F15" s="1">
        <v>4</v>
      </c>
      <c r="G15" s="1">
        <v>3</v>
      </c>
      <c r="H15" s="19">
        <v>320</v>
      </c>
      <c r="J15" s="1">
        <v>4</v>
      </c>
      <c r="K15" s="1">
        <v>3</v>
      </c>
      <c r="L15" s="20">
        <v>2000</v>
      </c>
      <c r="N15" s="1">
        <v>4</v>
      </c>
      <c r="O15" s="1">
        <v>3</v>
      </c>
      <c r="P15" s="1">
        <v>1</v>
      </c>
      <c r="Q15" s="22">
        <v>6.44</v>
      </c>
      <c r="S15" s="1">
        <v>4</v>
      </c>
      <c r="T15" s="1">
        <v>3</v>
      </c>
      <c r="U15" s="1">
        <v>1</v>
      </c>
      <c r="V15" s="23">
        <v>165.88000000000011</v>
      </c>
      <c r="X15" s="1">
        <v>4</v>
      </c>
      <c r="Y15" s="1">
        <v>1</v>
      </c>
      <c r="Z15" s="1">
        <v>3</v>
      </c>
      <c r="AA15" s="18">
        <v>300</v>
      </c>
    </row>
    <row r="16" spans="1:41" x14ac:dyDescent="0.25">
      <c r="A16" s="1">
        <v>1</v>
      </c>
      <c r="B16" s="1">
        <v>4</v>
      </c>
      <c r="C16" s="1">
        <v>1</v>
      </c>
      <c r="D16" s="20">
        <v>4</v>
      </c>
      <c r="F16" s="1">
        <v>1</v>
      </c>
      <c r="G16" s="1">
        <v>4</v>
      </c>
      <c r="H16" s="19">
        <v>150</v>
      </c>
      <c r="J16" s="1">
        <v>1</v>
      </c>
      <c r="K16" s="1">
        <v>4</v>
      </c>
      <c r="L16" s="20">
        <v>2000</v>
      </c>
      <c r="N16" s="1">
        <v>1</v>
      </c>
      <c r="O16" s="1">
        <v>4</v>
      </c>
      <c r="P16" s="1">
        <v>1</v>
      </c>
      <c r="Q16" s="18">
        <v>4.5</v>
      </c>
      <c r="S16" s="1">
        <v>1</v>
      </c>
      <c r="T16" s="1">
        <v>4</v>
      </c>
      <c r="U16" s="1">
        <v>1</v>
      </c>
      <c r="V16" s="23">
        <v>443</v>
      </c>
      <c r="X16" s="1">
        <v>1</v>
      </c>
      <c r="Y16" s="1">
        <v>1</v>
      </c>
      <c r="Z16" s="1">
        <v>4</v>
      </c>
      <c r="AA16" s="18">
        <v>500</v>
      </c>
    </row>
    <row r="17" spans="1:27" x14ac:dyDescent="0.25">
      <c r="A17" s="1">
        <v>2</v>
      </c>
      <c r="B17" s="1">
        <v>4</v>
      </c>
      <c r="C17" s="1">
        <v>1</v>
      </c>
      <c r="D17" s="20">
        <v>4</v>
      </c>
      <c r="F17" s="1">
        <v>2</v>
      </c>
      <c r="G17" s="1">
        <v>4</v>
      </c>
      <c r="H17" s="19">
        <v>140</v>
      </c>
      <c r="J17" s="1">
        <v>2</v>
      </c>
      <c r="K17" s="1">
        <v>4</v>
      </c>
      <c r="L17" s="20">
        <v>4000</v>
      </c>
      <c r="N17" s="1">
        <v>2</v>
      </c>
      <c r="O17" s="1">
        <v>4</v>
      </c>
      <c r="P17" s="1">
        <v>1</v>
      </c>
      <c r="Q17" s="22">
        <v>5.806451612903226</v>
      </c>
      <c r="S17" s="1">
        <v>2</v>
      </c>
      <c r="T17" s="1">
        <v>4</v>
      </c>
      <c r="U17" s="1">
        <v>1</v>
      </c>
      <c r="V17" s="23">
        <v>443</v>
      </c>
      <c r="X17" s="1">
        <v>2</v>
      </c>
      <c r="Y17" s="1">
        <v>1</v>
      </c>
      <c r="Z17" s="1">
        <v>4</v>
      </c>
      <c r="AA17" s="18">
        <v>600</v>
      </c>
    </row>
    <row r="18" spans="1:27" x14ac:dyDescent="0.25">
      <c r="A18" s="1">
        <v>3</v>
      </c>
      <c r="B18" s="1">
        <v>4</v>
      </c>
      <c r="C18" s="1">
        <v>1</v>
      </c>
      <c r="D18" s="20">
        <v>11</v>
      </c>
      <c r="F18" s="1">
        <v>3</v>
      </c>
      <c r="G18" s="1">
        <v>4</v>
      </c>
      <c r="H18" s="19">
        <v>155</v>
      </c>
      <c r="J18" s="1">
        <v>3</v>
      </c>
      <c r="K18" s="1">
        <v>4</v>
      </c>
      <c r="L18" s="20">
        <v>4000</v>
      </c>
      <c r="N18" s="1">
        <v>3</v>
      </c>
      <c r="O18" s="1">
        <v>4</v>
      </c>
      <c r="P18" s="1">
        <v>1</v>
      </c>
      <c r="Q18" s="22">
        <v>7.1999999999999993</v>
      </c>
      <c r="S18" s="1">
        <v>3</v>
      </c>
      <c r="T18" s="1">
        <v>4</v>
      </c>
      <c r="U18" s="1">
        <v>1</v>
      </c>
      <c r="V18" s="23">
        <v>443</v>
      </c>
      <c r="X18" s="1">
        <v>3</v>
      </c>
      <c r="Y18" s="1">
        <v>1</v>
      </c>
      <c r="Z18" s="1">
        <v>4</v>
      </c>
      <c r="AA18" s="18">
        <v>500</v>
      </c>
    </row>
    <row r="19" spans="1:27" x14ac:dyDescent="0.25">
      <c r="A19" s="1">
        <v>4</v>
      </c>
      <c r="B19" s="1">
        <v>4</v>
      </c>
      <c r="C19" s="1">
        <v>1</v>
      </c>
      <c r="D19" s="20">
        <v>2</v>
      </c>
      <c r="F19" s="1">
        <v>4</v>
      </c>
      <c r="G19" s="1">
        <v>4</v>
      </c>
      <c r="H19" s="19">
        <v>160</v>
      </c>
      <c r="J19" s="1">
        <v>4</v>
      </c>
      <c r="K19" s="1">
        <v>4</v>
      </c>
      <c r="L19" s="20">
        <v>2000</v>
      </c>
      <c r="N19" s="1">
        <v>4</v>
      </c>
      <c r="O19" s="1">
        <v>4</v>
      </c>
      <c r="P19" s="1">
        <v>1</v>
      </c>
      <c r="Q19" s="22">
        <v>6.44</v>
      </c>
      <c r="S19" s="1">
        <v>4</v>
      </c>
      <c r="T19" s="1">
        <v>4</v>
      </c>
      <c r="U19" s="1">
        <v>1</v>
      </c>
      <c r="V19" s="23">
        <v>443</v>
      </c>
      <c r="X19" s="1">
        <v>4</v>
      </c>
      <c r="Y19" s="1">
        <v>1</v>
      </c>
      <c r="Z19" s="1">
        <v>4</v>
      </c>
      <c r="AA19" s="18">
        <v>370</v>
      </c>
    </row>
    <row r="20" spans="1:27" x14ac:dyDescent="0.25">
      <c r="A20" s="1">
        <v>1</v>
      </c>
      <c r="B20" s="1">
        <v>1</v>
      </c>
      <c r="C20" s="1">
        <v>2</v>
      </c>
      <c r="D20" s="20">
        <v>3</v>
      </c>
      <c r="N20" s="1">
        <v>1</v>
      </c>
      <c r="O20" s="1">
        <v>1</v>
      </c>
      <c r="P20" s="1">
        <v>2</v>
      </c>
      <c r="Q20" s="18">
        <v>4.5</v>
      </c>
      <c r="S20" s="1">
        <v>1</v>
      </c>
      <c r="T20" s="1">
        <v>5</v>
      </c>
      <c r="U20" s="1">
        <v>1</v>
      </c>
      <c r="V20" s="23">
        <v>629.85000000000036</v>
      </c>
      <c r="X20" s="1">
        <v>1</v>
      </c>
      <c r="Y20" s="1">
        <v>1</v>
      </c>
      <c r="Z20" s="1">
        <v>5</v>
      </c>
      <c r="AA20" s="18">
        <v>600</v>
      </c>
    </row>
    <row r="21" spans="1:27" x14ac:dyDescent="0.25">
      <c r="A21" s="1">
        <v>2</v>
      </c>
      <c r="B21" s="1">
        <v>1</v>
      </c>
      <c r="C21" s="1">
        <v>2</v>
      </c>
      <c r="D21" s="20">
        <v>4</v>
      </c>
      <c r="N21" s="1">
        <v>2</v>
      </c>
      <c r="O21" s="1">
        <v>1</v>
      </c>
      <c r="P21" s="1">
        <v>2</v>
      </c>
      <c r="Q21" s="22">
        <v>5.806451612903226</v>
      </c>
      <c r="S21" s="1">
        <v>2</v>
      </c>
      <c r="T21" s="1">
        <v>5</v>
      </c>
      <c r="U21" s="1">
        <v>1</v>
      </c>
      <c r="V21" s="23">
        <v>629.85000000000036</v>
      </c>
      <c r="X21" s="1">
        <v>2</v>
      </c>
      <c r="Y21" s="1">
        <v>1</v>
      </c>
      <c r="Z21" s="1">
        <v>5</v>
      </c>
      <c r="AA21" s="18">
        <v>400</v>
      </c>
    </row>
    <row r="22" spans="1:27" x14ac:dyDescent="0.25">
      <c r="A22" s="1">
        <v>3</v>
      </c>
      <c r="B22" s="1">
        <v>1</v>
      </c>
      <c r="C22" s="1">
        <v>2</v>
      </c>
      <c r="D22" s="20">
        <v>10</v>
      </c>
      <c r="N22" s="1">
        <v>3</v>
      </c>
      <c r="O22" s="1">
        <v>1</v>
      </c>
      <c r="P22" s="1">
        <v>2</v>
      </c>
      <c r="Q22" s="22">
        <v>7.1999999999999993</v>
      </c>
      <c r="S22" s="1">
        <v>3</v>
      </c>
      <c r="T22" s="1">
        <v>5</v>
      </c>
      <c r="U22" s="1">
        <v>1</v>
      </c>
      <c r="V22" s="23">
        <v>629.85000000000036</v>
      </c>
      <c r="X22" s="1">
        <v>3</v>
      </c>
      <c r="Y22" s="1">
        <v>1</v>
      </c>
      <c r="Z22" s="1">
        <v>5</v>
      </c>
      <c r="AA22" s="18">
        <v>200</v>
      </c>
    </row>
    <row r="23" spans="1:27" x14ac:dyDescent="0.25">
      <c r="A23" s="1">
        <v>4</v>
      </c>
      <c r="B23" s="1">
        <v>1</v>
      </c>
      <c r="C23" s="1">
        <v>2</v>
      </c>
      <c r="D23" s="20">
        <v>2</v>
      </c>
      <c r="N23" s="1">
        <v>4</v>
      </c>
      <c r="O23" s="1">
        <v>1</v>
      </c>
      <c r="P23" s="1">
        <v>2</v>
      </c>
      <c r="Q23" s="22">
        <v>6.44</v>
      </c>
      <c r="S23" s="1">
        <v>4</v>
      </c>
      <c r="T23" s="1">
        <v>5</v>
      </c>
      <c r="U23" s="1">
        <v>1</v>
      </c>
      <c r="V23" s="23">
        <v>629.85000000000036</v>
      </c>
      <c r="X23" s="1">
        <v>4</v>
      </c>
      <c r="Y23" s="1">
        <v>1</v>
      </c>
      <c r="Z23" s="1">
        <v>5</v>
      </c>
      <c r="AA23" s="18">
        <v>700</v>
      </c>
    </row>
    <row r="24" spans="1:27" x14ac:dyDescent="0.25">
      <c r="A24" s="1">
        <v>1</v>
      </c>
      <c r="B24" s="1">
        <v>2</v>
      </c>
      <c r="C24" s="1">
        <v>2</v>
      </c>
      <c r="D24" s="20">
        <v>3</v>
      </c>
      <c r="N24" s="1">
        <v>1</v>
      </c>
      <c r="O24" s="1">
        <v>2</v>
      </c>
      <c r="P24" s="1">
        <v>2</v>
      </c>
      <c r="Q24" s="18">
        <v>4.5</v>
      </c>
      <c r="S24" s="1">
        <v>1</v>
      </c>
      <c r="T24" s="1">
        <v>6</v>
      </c>
      <c r="U24" s="1">
        <v>1</v>
      </c>
      <c r="V24" s="23">
        <v>719.81999999999971</v>
      </c>
      <c r="X24" s="1">
        <v>1</v>
      </c>
      <c r="Y24" s="1">
        <v>1</v>
      </c>
      <c r="Z24" s="1">
        <v>6</v>
      </c>
      <c r="AA24" s="18">
        <v>800</v>
      </c>
    </row>
    <row r="25" spans="1:27" x14ac:dyDescent="0.25">
      <c r="A25" s="1">
        <v>2</v>
      </c>
      <c r="B25" s="1">
        <v>2</v>
      </c>
      <c r="C25" s="1">
        <v>2</v>
      </c>
      <c r="D25" s="20">
        <v>3</v>
      </c>
      <c r="N25" s="1">
        <v>2</v>
      </c>
      <c r="O25" s="1">
        <v>2</v>
      </c>
      <c r="P25" s="1">
        <v>2</v>
      </c>
      <c r="Q25" s="22">
        <v>5.806451612903226</v>
      </c>
      <c r="S25" s="1">
        <v>2</v>
      </c>
      <c r="T25" s="1">
        <v>6</v>
      </c>
      <c r="U25" s="1">
        <v>1</v>
      </c>
      <c r="V25" s="23">
        <v>719.81999999999971</v>
      </c>
      <c r="X25" s="1">
        <v>2</v>
      </c>
      <c r="Y25" s="1">
        <v>1</v>
      </c>
      <c r="Z25" s="1">
        <v>6</v>
      </c>
      <c r="AA25" s="18">
        <v>1400</v>
      </c>
    </row>
    <row r="26" spans="1:27" x14ac:dyDescent="0.25">
      <c r="A26" s="1">
        <v>3</v>
      </c>
      <c r="B26" s="1">
        <v>2</v>
      </c>
      <c r="C26" s="1">
        <v>2</v>
      </c>
      <c r="D26" s="20">
        <v>12</v>
      </c>
      <c r="N26" s="1">
        <v>3</v>
      </c>
      <c r="O26" s="1">
        <v>2</v>
      </c>
      <c r="P26" s="1">
        <v>2</v>
      </c>
      <c r="Q26" s="22">
        <v>7.1999999999999993</v>
      </c>
      <c r="S26" s="1">
        <v>3</v>
      </c>
      <c r="T26" s="1">
        <v>6</v>
      </c>
      <c r="U26" s="1">
        <v>1</v>
      </c>
      <c r="V26" s="23">
        <v>719.81999999999971</v>
      </c>
      <c r="X26" s="1">
        <v>3</v>
      </c>
      <c r="Y26" s="1">
        <v>1</v>
      </c>
      <c r="Z26" s="1">
        <v>6</v>
      </c>
      <c r="AA26" s="18">
        <v>340</v>
      </c>
    </row>
    <row r="27" spans="1:27" x14ac:dyDescent="0.25">
      <c r="A27" s="1">
        <v>4</v>
      </c>
      <c r="B27" s="1">
        <v>2</v>
      </c>
      <c r="C27" s="1">
        <v>2</v>
      </c>
      <c r="D27" s="20">
        <v>2</v>
      </c>
      <c r="N27" s="1">
        <v>4</v>
      </c>
      <c r="O27" s="1">
        <v>2</v>
      </c>
      <c r="P27" s="1">
        <v>2</v>
      </c>
      <c r="Q27" s="22">
        <v>6.44</v>
      </c>
      <c r="S27" s="1">
        <v>4</v>
      </c>
      <c r="T27" s="1">
        <v>6</v>
      </c>
      <c r="U27" s="1">
        <v>1</v>
      </c>
      <c r="V27" s="23">
        <v>719.81999999999971</v>
      </c>
      <c r="X27" s="1">
        <v>4</v>
      </c>
      <c r="Y27" s="1">
        <v>1</v>
      </c>
      <c r="Z27" s="1">
        <v>6</v>
      </c>
      <c r="AA27" s="18">
        <v>300</v>
      </c>
    </row>
    <row r="28" spans="1:27" x14ac:dyDescent="0.25">
      <c r="A28" s="1">
        <v>1</v>
      </c>
      <c r="B28" s="1">
        <v>3</v>
      </c>
      <c r="C28" s="1">
        <v>2</v>
      </c>
      <c r="D28" s="20">
        <v>3</v>
      </c>
      <c r="N28" s="1">
        <v>1</v>
      </c>
      <c r="O28" s="1">
        <v>3</v>
      </c>
      <c r="P28" s="1">
        <v>2</v>
      </c>
      <c r="Q28" s="18">
        <v>4.5</v>
      </c>
      <c r="S28" s="1">
        <v>1</v>
      </c>
      <c r="T28" s="1">
        <v>7</v>
      </c>
      <c r="U28" s="1">
        <v>1</v>
      </c>
      <c r="V28" s="23">
        <v>798</v>
      </c>
      <c r="X28" s="1">
        <v>1</v>
      </c>
      <c r="Y28" s="1">
        <v>1</v>
      </c>
      <c r="Z28" s="1">
        <v>7</v>
      </c>
      <c r="AA28" s="18">
        <v>600</v>
      </c>
    </row>
    <row r="29" spans="1:27" x14ac:dyDescent="0.25">
      <c r="A29" s="1">
        <v>2</v>
      </c>
      <c r="B29" s="1">
        <v>3</v>
      </c>
      <c r="C29" s="1">
        <v>2</v>
      </c>
      <c r="D29" s="20">
        <v>4</v>
      </c>
      <c r="N29" s="1">
        <v>2</v>
      </c>
      <c r="O29" s="1">
        <v>3</v>
      </c>
      <c r="P29" s="1">
        <v>2</v>
      </c>
      <c r="Q29" s="22">
        <v>5.806451612903226</v>
      </c>
      <c r="S29" s="1">
        <v>2</v>
      </c>
      <c r="T29" s="1">
        <v>7</v>
      </c>
      <c r="U29" s="1">
        <v>1</v>
      </c>
      <c r="V29" s="23">
        <v>798</v>
      </c>
      <c r="X29" s="1">
        <v>2</v>
      </c>
      <c r="Y29" s="1">
        <v>1</v>
      </c>
      <c r="Z29" s="1">
        <v>7</v>
      </c>
      <c r="AA29" s="18">
        <v>600</v>
      </c>
    </row>
    <row r="30" spans="1:27" x14ac:dyDescent="0.25">
      <c r="A30" s="1">
        <v>3</v>
      </c>
      <c r="B30" s="1">
        <v>3</v>
      </c>
      <c r="C30" s="1">
        <v>2</v>
      </c>
      <c r="D30" s="20">
        <v>10</v>
      </c>
      <c r="N30" s="1">
        <v>3</v>
      </c>
      <c r="O30" s="1">
        <v>3</v>
      </c>
      <c r="P30" s="1">
        <v>2</v>
      </c>
      <c r="Q30" s="22">
        <v>7.1999999999999993</v>
      </c>
      <c r="S30" s="1">
        <v>3</v>
      </c>
      <c r="T30" s="1">
        <v>7</v>
      </c>
      <c r="U30" s="1">
        <v>1</v>
      </c>
      <c r="V30" s="23">
        <v>798</v>
      </c>
      <c r="X30" s="1">
        <v>3</v>
      </c>
      <c r="Y30" s="1">
        <v>1</v>
      </c>
      <c r="Z30" s="1">
        <v>7</v>
      </c>
      <c r="AA30" s="18">
        <v>600</v>
      </c>
    </row>
    <row r="31" spans="1:27" x14ac:dyDescent="0.25">
      <c r="A31" s="1">
        <v>4</v>
      </c>
      <c r="B31" s="1">
        <v>3</v>
      </c>
      <c r="C31" s="1">
        <v>2</v>
      </c>
      <c r="D31" s="20">
        <v>3</v>
      </c>
      <c r="N31" s="1">
        <v>4</v>
      </c>
      <c r="O31" s="1">
        <v>3</v>
      </c>
      <c r="P31" s="1">
        <v>2</v>
      </c>
      <c r="Q31" s="22">
        <v>6.44</v>
      </c>
      <c r="S31" s="1">
        <v>4</v>
      </c>
      <c r="T31" s="1">
        <v>7</v>
      </c>
      <c r="U31" s="1">
        <v>1</v>
      </c>
      <c r="V31" s="23">
        <v>798</v>
      </c>
      <c r="X31" s="1">
        <v>4</v>
      </c>
      <c r="Y31" s="1">
        <v>1</v>
      </c>
      <c r="Z31" s="1">
        <v>7</v>
      </c>
      <c r="AA31" s="18">
        <v>130</v>
      </c>
    </row>
    <row r="32" spans="1:27" x14ac:dyDescent="0.25">
      <c r="A32" s="1">
        <v>1</v>
      </c>
      <c r="B32" s="1">
        <v>4</v>
      </c>
      <c r="C32" s="1">
        <v>2</v>
      </c>
      <c r="D32" s="20">
        <v>4</v>
      </c>
      <c r="N32" s="1">
        <v>1</v>
      </c>
      <c r="O32" s="1">
        <v>4</v>
      </c>
      <c r="P32" s="1">
        <v>2</v>
      </c>
      <c r="Q32" s="18">
        <v>4.5</v>
      </c>
      <c r="S32" s="1">
        <v>1</v>
      </c>
      <c r="T32" s="1">
        <v>8</v>
      </c>
      <c r="U32" s="1">
        <v>1</v>
      </c>
      <c r="V32" s="23">
        <v>419.39999999999958</v>
      </c>
      <c r="X32" s="1">
        <v>1</v>
      </c>
      <c r="Y32" s="1">
        <v>1</v>
      </c>
      <c r="Z32" s="1">
        <v>8</v>
      </c>
      <c r="AA32" s="18">
        <v>2000</v>
      </c>
    </row>
    <row r="33" spans="1:27" x14ac:dyDescent="0.25">
      <c r="A33" s="1">
        <v>2</v>
      </c>
      <c r="B33" s="1">
        <v>4</v>
      </c>
      <c r="C33" s="1">
        <v>2</v>
      </c>
      <c r="D33" s="20">
        <v>4</v>
      </c>
      <c r="N33" s="1">
        <v>2</v>
      </c>
      <c r="O33" s="1">
        <v>4</v>
      </c>
      <c r="P33" s="1">
        <v>2</v>
      </c>
      <c r="Q33" s="22">
        <v>5.806451612903226</v>
      </c>
      <c r="S33" s="1">
        <v>2</v>
      </c>
      <c r="T33" s="1">
        <v>8</v>
      </c>
      <c r="U33" s="1">
        <v>1</v>
      </c>
      <c r="V33" s="23">
        <v>419.39999999999958</v>
      </c>
      <c r="X33" s="1">
        <v>2</v>
      </c>
      <c r="Y33" s="1">
        <v>1</v>
      </c>
      <c r="Z33" s="1">
        <v>8</v>
      </c>
      <c r="AA33" s="18">
        <v>600</v>
      </c>
    </row>
    <row r="34" spans="1:27" x14ac:dyDescent="0.25">
      <c r="A34" s="1">
        <v>3</v>
      </c>
      <c r="B34" s="1">
        <v>4</v>
      </c>
      <c r="C34" s="1">
        <v>2</v>
      </c>
      <c r="D34" s="20">
        <v>11</v>
      </c>
      <c r="N34" s="1">
        <v>3</v>
      </c>
      <c r="O34" s="1">
        <v>4</v>
      </c>
      <c r="P34" s="1">
        <v>2</v>
      </c>
      <c r="Q34" s="22">
        <v>7.1999999999999993</v>
      </c>
      <c r="S34" s="1">
        <v>3</v>
      </c>
      <c r="T34" s="1">
        <v>8</v>
      </c>
      <c r="U34" s="1">
        <v>1</v>
      </c>
      <c r="V34" s="23">
        <v>419.39999999999958</v>
      </c>
      <c r="X34" s="1">
        <v>3</v>
      </c>
      <c r="Y34" s="1">
        <v>1</v>
      </c>
      <c r="Z34" s="1">
        <v>8</v>
      </c>
      <c r="AA34" s="18">
        <v>300</v>
      </c>
    </row>
    <row r="35" spans="1:27" x14ac:dyDescent="0.25">
      <c r="A35" s="1">
        <v>4</v>
      </c>
      <c r="B35" s="1">
        <v>4</v>
      </c>
      <c r="C35" s="1">
        <v>2</v>
      </c>
      <c r="D35" s="20">
        <v>2</v>
      </c>
      <c r="N35" s="1">
        <v>4</v>
      </c>
      <c r="O35" s="1">
        <v>4</v>
      </c>
      <c r="P35" s="1">
        <v>2</v>
      </c>
      <c r="Q35" s="22">
        <v>6.44</v>
      </c>
      <c r="S35" s="1">
        <v>4</v>
      </c>
      <c r="T35" s="1">
        <v>8</v>
      </c>
      <c r="U35" s="1">
        <v>1</v>
      </c>
      <c r="V35" s="23">
        <v>419.39999999999958</v>
      </c>
      <c r="X35" s="1">
        <v>4</v>
      </c>
      <c r="Y35" s="1">
        <v>1</v>
      </c>
      <c r="Z35" s="1">
        <v>8</v>
      </c>
      <c r="AA35" s="18">
        <v>400</v>
      </c>
    </row>
    <row r="36" spans="1:27" x14ac:dyDescent="0.25">
      <c r="S36" s="1">
        <v>1</v>
      </c>
      <c r="T36" s="1">
        <v>1</v>
      </c>
      <c r="U36" s="1">
        <v>2</v>
      </c>
      <c r="V36" s="23">
        <v>201.5</v>
      </c>
      <c r="X36" s="1">
        <v>1</v>
      </c>
      <c r="Y36" s="1">
        <v>1</v>
      </c>
      <c r="Z36" s="1">
        <v>9</v>
      </c>
      <c r="AA36" s="18">
        <v>400</v>
      </c>
    </row>
    <row r="37" spans="1:27" x14ac:dyDescent="0.25">
      <c r="S37" s="1">
        <v>2</v>
      </c>
      <c r="T37" s="1">
        <v>1</v>
      </c>
      <c r="U37" s="1">
        <v>2</v>
      </c>
      <c r="V37" s="23">
        <v>201.5</v>
      </c>
      <c r="W37" t="str">
        <f>REPLACE(V37,4,1,".")</f>
        <v>201.5</v>
      </c>
      <c r="X37" s="1">
        <v>2</v>
      </c>
      <c r="Y37" s="1">
        <v>1</v>
      </c>
      <c r="Z37" s="1">
        <v>9</v>
      </c>
      <c r="AA37" s="18">
        <v>400</v>
      </c>
    </row>
    <row r="38" spans="1:27" x14ac:dyDescent="0.25">
      <c r="S38" s="1">
        <v>3</v>
      </c>
      <c r="T38" s="1">
        <v>1</v>
      </c>
      <c r="U38" s="1">
        <v>2</v>
      </c>
      <c r="V38" s="23">
        <v>201.5</v>
      </c>
      <c r="W38" t="str">
        <f>REPLACE(V38,4,1,".")</f>
        <v>201.5</v>
      </c>
      <c r="X38" s="1">
        <v>3</v>
      </c>
      <c r="Y38" s="1">
        <v>1</v>
      </c>
      <c r="Z38" s="1">
        <v>9</v>
      </c>
      <c r="AA38" s="18">
        <v>300</v>
      </c>
    </row>
    <row r="39" spans="1:27" x14ac:dyDescent="0.25">
      <c r="S39" s="1">
        <v>4</v>
      </c>
      <c r="T39" s="1">
        <v>1</v>
      </c>
      <c r="U39" s="1">
        <v>2</v>
      </c>
      <c r="V39" s="23">
        <v>201.5</v>
      </c>
      <c r="W39" t="str">
        <f>REPLACE(V39,4,1,".")</f>
        <v>201.5</v>
      </c>
      <c r="X39" s="1">
        <v>4</v>
      </c>
      <c r="Y39" s="1">
        <v>1</v>
      </c>
      <c r="Z39" s="1">
        <v>9</v>
      </c>
      <c r="AA39" s="18">
        <v>250</v>
      </c>
    </row>
    <row r="40" spans="1:27" x14ac:dyDescent="0.25">
      <c r="S40" s="1">
        <v>1</v>
      </c>
      <c r="T40" s="1">
        <v>2</v>
      </c>
      <c r="U40" s="1">
        <v>2</v>
      </c>
      <c r="V40" s="23">
        <v>1.9499999999998181</v>
      </c>
      <c r="X40" s="1">
        <v>1</v>
      </c>
      <c r="Y40" s="1">
        <v>1</v>
      </c>
      <c r="Z40" s="1">
        <v>10</v>
      </c>
      <c r="AA40" s="18">
        <v>980</v>
      </c>
    </row>
    <row r="41" spans="1:27" x14ac:dyDescent="0.25">
      <c r="S41" s="1">
        <v>2</v>
      </c>
      <c r="T41" s="1">
        <v>2</v>
      </c>
      <c r="U41" s="1">
        <v>2</v>
      </c>
      <c r="V41" s="23">
        <v>1.9499999999998181</v>
      </c>
      <c r="W41" t="str">
        <f>REPLACE(V41,2,1,".")</f>
        <v>1.94999999999982</v>
      </c>
      <c r="X41" s="1">
        <v>2</v>
      </c>
      <c r="Y41" s="1">
        <v>1</v>
      </c>
      <c r="Z41" s="1">
        <v>10</v>
      </c>
      <c r="AA41" s="18">
        <v>540</v>
      </c>
    </row>
    <row r="42" spans="1:27" x14ac:dyDescent="0.25">
      <c r="S42" s="1">
        <v>3</v>
      </c>
      <c r="T42" s="1">
        <v>2</v>
      </c>
      <c r="U42" s="1">
        <v>2</v>
      </c>
      <c r="V42" s="23">
        <v>1.9499999999998181</v>
      </c>
      <c r="W42" t="str">
        <f>REPLACE(V42,2,1,".")</f>
        <v>1.94999999999982</v>
      </c>
      <c r="X42" s="1">
        <v>3</v>
      </c>
      <c r="Y42" s="1">
        <v>1</v>
      </c>
      <c r="Z42" s="1">
        <v>10</v>
      </c>
      <c r="AA42" s="18">
        <v>500</v>
      </c>
    </row>
    <row r="43" spans="1:27" x14ac:dyDescent="0.25">
      <c r="S43" s="1">
        <v>4</v>
      </c>
      <c r="T43" s="1">
        <v>2</v>
      </c>
      <c r="U43" s="1">
        <v>2</v>
      </c>
      <c r="V43" s="23">
        <v>1.9499999999998181</v>
      </c>
      <c r="W43" t="str">
        <f>REPLACE(V43,2,1,".")</f>
        <v>1.94999999999982</v>
      </c>
      <c r="X43" s="1">
        <v>4</v>
      </c>
      <c r="Y43" s="1">
        <v>1</v>
      </c>
      <c r="Z43" s="1">
        <v>10</v>
      </c>
      <c r="AA43" s="18">
        <v>310</v>
      </c>
    </row>
    <row r="44" spans="1:27" x14ac:dyDescent="0.25">
      <c r="S44" s="1">
        <v>1</v>
      </c>
      <c r="T44" s="1">
        <v>3</v>
      </c>
      <c r="U44" s="1">
        <v>2</v>
      </c>
      <c r="V44" s="23">
        <v>154.19999999999979</v>
      </c>
      <c r="X44" s="1">
        <v>1</v>
      </c>
      <c r="Y44" s="1">
        <v>1</v>
      </c>
      <c r="Z44" s="1">
        <v>11</v>
      </c>
      <c r="AA44" s="18">
        <v>740</v>
      </c>
    </row>
    <row r="45" spans="1:27" x14ac:dyDescent="0.25">
      <c r="S45" s="1">
        <v>2</v>
      </c>
      <c r="T45" s="1">
        <v>3</v>
      </c>
      <c r="U45" s="1">
        <v>2</v>
      </c>
      <c r="V45" s="23">
        <v>154.19999999999979</v>
      </c>
      <c r="W45" t="str">
        <f>REPLACE(V45,4,1,".")</f>
        <v>154.2</v>
      </c>
      <c r="X45" s="1">
        <v>2</v>
      </c>
      <c r="Y45" s="1">
        <v>1</v>
      </c>
      <c r="Z45" s="1">
        <v>11</v>
      </c>
      <c r="AA45" s="18">
        <v>340</v>
      </c>
    </row>
    <row r="46" spans="1:27" x14ac:dyDescent="0.25">
      <c r="S46" s="1">
        <v>3</v>
      </c>
      <c r="T46" s="1">
        <v>3</v>
      </c>
      <c r="U46" s="1">
        <v>2</v>
      </c>
      <c r="V46" s="23">
        <v>154.19999999999979</v>
      </c>
      <c r="W46" t="str">
        <f>REPLACE(V46,4,1,".")</f>
        <v>154.2</v>
      </c>
      <c r="X46" s="1">
        <v>3</v>
      </c>
      <c r="Y46" s="1">
        <v>1</v>
      </c>
      <c r="Z46" s="1">
        <v>11</v>
      </c>
      <c r="AA46" s="18">
        <v>470</v>
      </c>
    </row>
    <row r="47" spans="1:27" x14ac:dyDescent="0.25">
      <c r="S47" s="1">
        <v>4</v>
      </c>
      <c r="T47" s="1">
        <v>3</v>
      </c>
      <c r="U47" s="1">
        <v>2</v>
      </c>
      <c r="V47" s="23">
        <v>154.19999999999979</v>
      </c>
      <c r="W47" t="str">
        <f>REPLACE(V47,4,1,".")</f>
        <v>154.2</v>
      </c>
      <c r="X47" s="1">
        <v>4</v>
      </c>
      <c r="Y47" s="1">
        <v>1</v>
      </c>
      <c r="Z47" s="1">
        <v>11</v>
      </c>
      <c r="AA47" s="18">
        <v>300</v>
      </c>
    </row>
    <row r="48" spans="1:27" x14ac:dyDescent="0.25">
      <c r="S48" s="1">
        <v>1</v>
      </c>
      <c r="T48" s="1">
        <v>4</v>
      </c>
      <c r="U48" s="1">
        <v>2</v>
      </c>
      <c r="V48" s="23">
        <v>640.07999999999993</v>
      </c>
      <c r="X48" s="1">
        <v>1</v>
      </c>
      <c r="Y48" s="1">
        <v>1</v>
      </c>
      <c r="Z48" s="1">
        <v>12</v>
      </c>
      <c r="AA48" s="18">
        <v>600</v>
      </c>
    </row>
    <row r="49" spans="19:27" x14ac:dyDescent="0.25">
      <c r="S49" s="1">
        <v>2</v>
      </c>
      <c r="T49" s="1">
        <v>4</v>
      </c>
      <c r="U49" s="1">
        <v>2</v>
      </c>
      <c r="V49" s="23">
        <v>640.07999999999993</v>
      </c>
      <c r="W49" t="str">
        <f>REPLACE(V49,4,1,".")</f>
        <v>640.08</v>
      </c>
      <c r="X49" s="1">
        <v>2</v>
      </c>
      <c r="Y49" s="1">
        <v>1</v>
      </c>
      <c r="Z49" s="1">
        <v>12</v>
      </c>
      <c r="AA49" s="18">
        <v>440</v>
      </c>
    </row>
    <row r="50" spans="19:27" x14ac:dyDescent="0.25">
      <c r="S50" s="1">
        <v>3</v>
      </c>
      <c r="T50" s="1">
        <v>4</v>
      </c>
      <c r="U50" s="1">
        <v>2</v>
      </c>
      <c r="V50" s="23">
        <v>640.07999999999993</v>
      </c>
      <c r="W50" t="str">
        <f>REPLACE(V50,4,1,".")</f>
        <v>640.08</v>
      </c>
      <c r="X50" s="1">
        <v>3</v>
      </c>
      <c r="Y50" s="1">
        <v>1</v>
      </c>
      <c r="Z50" s="1">
        <v>12</v>
      </c>
      <c r="AA50" s="18">
        <v>500</v>
      </c>
    </row>
    <row r="51" spans="19:27" x14ac:dyDescent="0.25">
      <c r="S51" s="1">
        <v>4</v>
      </c>
      <c r="T51" s="1">
        <v>4</v>
      </c>
      <c r="U51" s="1">
        <v>2</v>
      </c>
      <c r="V51" s="23">
        <v>640.07999999999993</v>
      </c>
      <c r="W51" t="str">
        <f>REPLACE(V51,4,1,".")</f>
        <v>640.08</v>
      </c>
      <c r="X51" s="1">
        <v>4</v>
      </c>
      <c r="Y51" s="1">
        <v>1</v>
      </c>
      <c r="Z51" s="1">
        <v>12</v>
      </c>
      <c r="AA51" s="18">
        <v>100</v>
      </c>
    </row>
    <row r="52" spans="19:27" x14ac:dyDescent="0.25">
      <c r="S52" s="1">
        <v>1</v>
      </c>
      <c r="T52" s="1">
        <v>5</v>
      </c>
      <c r="U52" s="1">
        <v>2</v>
      </c>
      <c r="V52" s="23">
        <v>529.60000000000036</v>
      </c>
      <c r="X52" s="1">
        <v>1</v>
      </c>
      <c r="Y52" s="1">
        <v>2</v>
      </c>
      <c r="Z52" s="1">
        <v>1</v>
      </c>
      <c r="AA52" s="18">
        <v>700</v>
      </c>
    </row>
    <row r="53" spans="19:27" x14ac:dyDescent="0.25">
      <c r="S53" s="1">
        <v>2</v>
      </c>
      <c r="T53" s="1">
        <v>5</v>
      </c>
      <c r="U53" s="1">
        <v>2</v>
      </c>
      <c r="V53" s="23">
        <v>529.60000000000036</v>
      </c>
      <c r="W53" t="str">
        <f>REPLACE(V53,4,1,".")</f>
        <v>529.6</v>
      </c>
      <c r="X53" s="1">
        <v>2</v>
      </c>
      <c r="Y53" s="1">
        <v>2</v>
      </c>
      <c r="Z53" s="1">
        <v>1</v>
      </c>
      <c r="AA53" s="18">
        <v>400</v>
      </c>
    </row>
    <row r="54" spans="19:27" x14ac:dyDescent="0.25">
      <c r="S54" s="1">
        <v>3</v>
      </c>
      <c r="T54" s="1">
        <v>5</v>
      </c>
      <c r="U54" s="1">
        <v>2</v>
      </c>
      <c r="V54" s="23">
        <v>529.60000000000036</v>
      </c>
      <c r="W54" t="str">
        <f>REPLACE(V54,4,1,".")</f>
        <v>529.6</v>
      </c>
      <c r="X54" s="1">
        <v>3</v>
      </c>
      <c r="Y54" s="1">
        <v>2</v>
      </c>
      <c r="Z54" s="1">
        <v>1</v>
      </c>
      <c r="AA54" s="18">
        <v>300</v>
      </c>
    </row>
    <row r="55" spans="19:27" x14ac:dyDescent="0.25">
      <c r="S55" s="1">
        <v>4</v>
      </c>
      <c r="T55" s="1">
        <v>5</v>
      </c>
      <c r="U55" s="1">
        <v>2</v>
      </c>
      <c r="V55" s="23">
        <v>529.60000000000036</v>
      </c>
      <c r="W55" t="str">
        <f>REPLACE(V55,4,1,".")</f>
        <v>529.6</v>
      </c>
      <c r="X55" s="1">
        <v>4</v>
      </c>
      <c r="Y55" s="1">
        <v>2</v>
      </c>
      <c r="Z55" s="1">
        <v>1</v>
      </c>
      <c r="AA55" s="18">
        <v>600</v>
      </c>
    </row>
    <row r="56" spans="19:27" x14ac:dyDescent="0.25">
      <c r="S56" s="1">
        <v>1</v>
      </c>
      <c r="T56" s="1">
        <v>6</v>
      </c>
      <c r="U56" s="1">
        <v>2</v>
      </c>
      <c r="V56" s="23">
        <v>698.39999999999964</v>
      </c>
      <c r="X56" s="1">
        <v>1</v>
      </c>
      <c r="Y56" s="1">
        <v>2</v>
      </c>
      <c r="Z56" s="1">
        <v>2</v>
      </c>
      <c r="AA56" s="18">
        <v>400</v>
      </c>
    </row>
    <row r="57" spans="19:27" x14ac:dyDescent="0.25">
      <c r="S57" s="1">
        <v>2</v>
      </c>
      <c r="T57" s="1">
        <v>6</v>
      </c>
      <c r="U57" s="1">
        <v>2</v>
      </c>
      <c r="V57" s="23">
        <v>698.39999999999964</v>
      </c>
      <c r="W57" t="str">
        <f>REPLACE(V57,4,1,".")</f>
        <v>698.4</v>
      </c>
      <c r="X57" s="1">
        <v>2</v>
      </c>
      <c r="Y57" s="1">
        <v>2</v>
      </c>
      <c r="Z57" s="1">
        <v>2</v>
      </c>
      <c r="AA57" s="18">
        <v>600</v>
      </c>
    </row>
    <row r="58" spans="19:27" x14ac:dyDescent="0.25">
      <c r="S58" s="1">
        <v>3</v>
      </c>
      <c r="T58" s="1">
        <v>6</v>
      </c>
      <c r="U58" s="1">
        <v>2</v>
      </c>
      <c r="V58" s="23">
        <v>698.39999999999964</v>
      </c>
      <c r="W58" t="str">
        <f>REPLACE(V58,4,1,".")</f>
        <v>698.4</v>
      </c>
      <c r="X58" s="1">
        <v>3</v>
      </c>
      <c r="Y58" s="1">
        <v>2</v>
      </c>
      <c r="Z58" s="1">
        <v>2</v>
      </c>
      <c r="AA58" s="18">
        <v>900</v>
      </c>
    </row>
    <row r="59" spans="19:27" x14ac:dyDescent="0.25">
      <c r="S59" s="1">
        <v>4</v>
      </c>
      <c r="T59" s="1">
        <v>6</v>
      </c>
      <c r="U59" s="1">
        <v>2</v>
      </c>
      <c r="V59" s="23">
        <v>698.39999999999964</v>
      </c>
      <c r="W59" t="str">
        <f>REPLACE(V59,4,1,".")</f>
        <v>698.4</v>
      </c>
      <c r="X59" s="1">
        <v>4</v>
      </c>
      <c r="Y59" s="1">
        <v>2</v>
      </c>
      <c r="Z59" s="1">
        <v>2</v>
      </c>
      <c r="AA59" s="18">
        <v>420</v>
      </c>
    </row>
    <row r="60" spans="19:27" x14ac:dyDescent="0.25">
      <c r="S60" s="1">
        <v>1</v>
      </c>
      <c r="T60" s="1">
        <v>7</v>
      </c>
      <c r="U60" s="1">
        <v>2</v>
      </c>
      <c r="V60" s="23">
        <v>559</v>
      </c>
      <c r="X60" s="1">
        <v>1</v>
      </c>
      <c r="Y60" s="1">
        <v>2</v>
      </c>
      <c r="Z60" s="1">
        <v>3</v>
      </c>
      <c r="AA60" s="18">
        <v>300</v>
      </c>
    </row>
    <row r="61" spans="19:27" x14ac:dyDescent="0.25">
      <c r="S61" s="1">
        <v>2</v>
      </c>
      <c r="T61" s="1">
        <v>7</v>
      </c>
      <c r="U61" s="1">
        <v>2</v>
      </c>
      <c r="V61" s="23">
        <v>559</v>
      </c>
      <c r="W61" t="str">
        <f>REPLACE(V61,4,1,".")</f>
        <v>559.</v>
      </c>
      <c r="X61" s="1">
        <v>2</v>
      </c>
      <c r="Y61" s="1">
        <v>2</v>
      </c>
      <c r="Z61" s="1">
        <v>3</v>
      </c>
      <c r="AA61" s="18">
        <v>800</v>
      </c>
    </row>
    <row r="62" spans="19:27" x14ac:dyDescent="0.25">
      <c r="S62" s="1">
        <v>3</v>
      </c>
      <c r="T62" s="1">
        <v>7</v>
      </c>
      <c r="U62" s="1">
        <v>2</v>
      </c>
      <c r="V62" s="23">
        <v>559</v>
      </c>
      <c r="W62" t="str">
        <f>REPLACE(V62,4,1,".")</f>
        <v>559.</v>
      </c>
      <c r="X62" s="1">
        <v>3</v>
      </c>
      <c r="Y62" s="1">
        <v>2</v>
      </c>
      <c r="Z62" s="1">
        <v>3</v>
      </c>
      <c r="AA62" s="18">
        <v>1800</v>
      </c>
    </row>
    <row r="63" spans="19:27" x14ac:dyDescent="0.25">
      <c r="S63" s="1">
        <v>4</v>
      </c>
      <c r="T63" s="1">
        <v>7</v>
      </c>
      <c r="U63" s="1">
        <v>2</v>
      </c>
      <c r="V63" s="23">
        <v>559</v>
      </c>
      <c r="W63" t="str">
        <f>REPLACE(V63,4,1,".")</f>
        <v>559.</v>
      </c>
      <c r="X63" s="1">
        <v>4</v>
      </c>
      <c r="Y63" s="1">
        <v>2</v>
      </c>
      <c r="Z63" s="1">
        <v>3</v>
      </c>
      <c r="AA63" s="18">
        <v>600</v>
      </c>
    </row>
    <row r="64" spans="19:27" x14ac:dyDescent="0.25">
      <c r="S64" s="1">
        <v>1</v>
      </c>
      <c r="T64" s="1">
        <v>8</v>
      </c>
      <c r="U64" s="1">
        <v>2</v>
      </c>
      <c r="V64" s="23">
        <v>509.85000000000042</v>
      </c>
      <c r="X64" s="1">
        <v>1</v>
      </c>
      <c r="Y64" s="1">
        <v>2</v>
      </c>
      <c r="Z64" s="1">
        <v>4</v>
      </c>
      <c r="AA64" s="18">
        <v>250</v>
      </c>
    </row>
    <row r="65" spans="19:27" x14ac:dyDescent="0.25">
      <c r="S65" s="1">
        <v>2</v>
      </c>
      <c r="T65" s="1">
        <v>8</v>
      </c>
      <c r="U65" s="1">
        <v>2</v>
      </c>
      <c r="V65" s="23">
        <v>509.85000000000042</v>
      </c>
      <c r="W65" t="str">
        <f>REPLACE(V65,4,1,".")</f>
        <v>509.85</v>
      </c>
      <c r="X65" s="1">
        <v>2</v>
      </c>
      <c r="Y65" s="1">
        <v>2</v>
      </c>
      <c r="Z65" s="1">
        <v>4</v>
      </c>
      <c r="AA65" s="18">
        <v>600</v>
      </c>
    </row>
    <row r="66" spans="19:27" x14ac:dyDescent="0.25">
      <c r="S66" s="1">
        <v>3</v>
      </c>
      <c r="T66" s="1">
        <v>8</v>
      </c>
      <c r="U66" s="1">
        <v>2</v>
      </c>
      <c r="V66" s="23">
        <v>509.85000000000042</v>
      </c>
      <c r="W66" t="str">
        <f>REPLACE(V66,4,1,".")</f>
        <v>509.85</v>
      </c>
      <c r="X66" s="1">
        <v>3</v>
      </c>
      <c r="Y66" s="1">
        <v>2</v>
      </c>
      <c r="Z66" s="1">
        <v>4</v>
      </c>
      <c r="AA66" s="18">
        <v>1500</v>
      </c>
    </row>
    <row r="67" spans="19:27" x14ac:dyDescent="0.25">
      <c r="S67" s="1">
        <v>4</v>
      </c>
      <c r="T67" s="1">
        <v>8</v>
      </c>
      <c r="U67" s="1">
        <v>2</v>
      </c>
      <c r="V67" s="23">
        <v>509.85000000000042</v>
      </c>
      <c r="W67" t="str">
        <f>REPLACE(V67,4,1,".")</f>
        <v>509.85</v>
      </c>
      <c r="X67" s="1">
        <v>4</v>
      </c>
      <c r="Y67" s="1">
        <v>2</v>
      </c>
      <c r="Z67" s="1">
        <v>4</v>
      </c>
      <c r="AA67" s="18">
        <v>740</v>
      </c>
    </row>
    <row r="68" spans="19:27" x14ac:dyDescent="0.25">
      <c r="X68" s="1">
        <v>1</v>
      </c>
      <c r="Y68" s="1">
        <v>2</v>
      </c>
      <c r="Z68" s="1">
        <v>5</v>
      </c>
      <c r="AA68" s="18">
        <v>300</v>
      </c>
    </row>
    <row r="69" spans="19:27" x14ac:dyDescent="0.25">
      <c r="X69" s="1">
        <v>2</v>
      </c>
      <c r="Y69" s="1">
        <v>2</v>
      </c>
      <c r="Z69" s="1">
        <v>5</v>
      </c>
      <c r="AA69" s="18">
        <v>400</v>
      </c>
    </row>
    <row r="70" spans="19:27" x14ac:dyDescent="0.25">
      <c r="X70" s="1">
        <v>3</v>
      </c>
      <c r="Y70" s="1">
        <v>2</v>
      </c>
      <c r="Z70" s="1">
        <v>5</v>
      </c>
      <c r="AA70" s="18">
        <v>600</v>
      </c>
    </row>
    <row r="71" spans="19:27" x14ac:dyDescent="0.25">
      <c r="X71" s="1">
        <v>4</v>
      </c>
      <c r="Y71" s="1">
        <v>2</v>
      </c>
      <c r="Z71" s="1">
        <v>5</v>
      </c>
      <c r="AA71" s="18">
        <v>1400</v>
      </c>
    </row>
    <row r="72" spans="19:27" x14ac:dyDescent="0.25">
      <c r="X72" s="1">
        <v>1</v>
      </c>
      <c r="Y72" s="1">
        <v>2</v>
      </c>
      <c r="Z72" s="1">
        <v>6</v>
      </c>
      <c r="AA72" s="18">
        <v>400</v>
      </c>
    </row>
    <row r="73" spans="19:27" x14ac:dyDescent="0.25">
      <c r="X73" s="1">
        <v>2</v>
      </c>
      <c r="Y73" s="1">
        <v>2</v>
      </c>
      <c r="Z73" s="1">
        <v>6</v>
      </c>
      <c r="AA73" s="18">
        <v>1400</v>
      </c>
    </row>
    <row r="74" spans="19:27" x14ac:dyDescent="0.25">
      <c r="X74" s="1">
        <v>3</v>
      </c>
      <c r="Y74" s="1">
        <v>2</v>
      </c>
      <c r="Z74" s="1">
        <v>6</v>
      </c>
      <c r="AA74" s="18">
        <v>1020</v>
      </c>
    </row>
    <row r="75" spans="19:27" x14ac:dyDescent="0.25">
      <c r="X75" s="1">
        <v>4</v>
      </c>
      <c r="Y75" s="1">
        <v>2</v>
      </c>
      <c r="Z75" s="1">
        <v>6</v>
      </c>
      <c r="AA75" s="18">
        <v>600</v>
      </c>
    </row>
    <row r="76" spans="19:27" x14ac:dyDescent="0.25">
      <c r="X76" s="1">
        <v>1</v>
      </c>
      <c r="Y76" s="1">
        <v>2</v>
      </c>
      <c r="Z76" s="1">
        <v>7</v>
      </c>
      <c r="AA76" s="18">
        <v>300</v>
      </c>
    </row>
    <row r="77" spans="19:27" x14ac:dyDescent="0.25">
      <c r="X77" s="1">
        <v>2</v>
      </c>
      <c r="Y77" s="1">
        <v>2</v>
      </c>
      <c r="Z77" s="1">
        <v>7</v>
      </c>
      <c r="AA77" s="18">
        <v>600</v>
      </c>
    </row>
    <row r="78" spans="19:27" x14ac:dyDescent="0.25">
      <c r="X78" s="1">
        <v>3</v>
      </c>
      <c r="Y78" s="1">
        <v>2</v>
      </c>
      <c r="Z78" s="1">
        <v>7</v>
      </c>
      <c r="AA78" s="18">
        <v>1800</v>
      </c>
    </row>
    <row r="79" spans="19:27" x14ac:dyDescent="0.25">
      <c r="X79" s="1">
        <v>4</v>
      </c>
      <c r="Y79" s="1">
        <v>2</v>
      </c>
      <c r="Z79" s="1">
        <v>7</v>
      </c>
      <c r="AA79" s="18">
        <v>260</v>
      </c>
    </row>
    <row r="80" spans="19:27" x14ac:dyDescent="0.25">
      <c r="X80" s="1">
        <v>1</v>
      </c>
      <c r="Y80" s="1">
        <v>2</v>
      </c>
      <c r="Z80" s="1">
        <v>8</v>
      </c>
      <c r="AA80" s="18">
        <v>1000</v>
      </c>
    </row>
    <row r="81" spans="24:27" x14ac:dyDescent="0.25">
      <c r="X81" s="1">
        <v>2</v>
      </c>
      <c r="Y81" s="1">
        <v>2</v>
      </c>
      <c r="Z81" s="1">
        <v>8</v>
      </c>
      <c r="AA81" s="18">
        <v>600</v>
      </c>
    </row>
    <row r="82" spans="24:27" x14ac:dyDescent="0.25">
      <c r="X82" s="1">
        <v>3</v>
      </c>
      <c r="Y82" s="1">
        <v>2</v>
      </c>
      <c r="Z82" s="1">
        <v>8</v>
      </c>
      <c r="AA82" s="18">
        <v>900</v>
      </c>
    </row>
    <row r="83" spans="24:27" x14ac:dyDescent="0.25">
      <c r="X83" s="1">
        <v>4</v>
      </c>
      <c r="Y83" s="1">
        <v>2</v>
      </c>
      <c r="Z83" s="1">
        <v>8</v>
      </c>
      <c r="AA83" s="18">
        <v>800</v>
      </c>
    </row>
    <row r="84" spans="24:27" x14ac:dyDescent="0.25">
      <c r="X84" s="1">
        <v>1</v>
      </c>
      <c r="Y84" s="1">
        <v>2</v>
      </c>
      <c r="Z84" s="1">
        <v>9</v>
      </c>
      <c r="AA84" s="18">
        <v>200</v>
      </c>
    </row>
    <row r="85" spans="24:27" x14ac:dyDescent="0.25">
      <c r="X85" s="1">
        <v>2</v>
      </c>
      <c r="Y85" s="1">
        <v>2</v>
      </c>
      <c r="Z85" s="1">
        <v>9</v>
      </c>
      <c r="AA85" s="18">
        <v>400</v>
      </c>
    </row>
    <row r="86" spans="24:27" x14ac:dyDescent="0.25">
      <c r="X86" s="1">
        <v>3</v>
      </c>
      <c r="Y86" s="1">
        <v>2</v>
      </c>
      <c r="Z86" s="1">
        <v>9</v>
      </c>
      <c r="AA86" s="18">
        <v>900</v>
      </c>
    </row>
    <row r="87" spans="24:27" x14ac:dyDescent="0.25">
      <c r="X87" s="1">
        <v>4</v>
      </c>
      <c r="Y87" s="1">
        <v>2</v>
      </c>
      <c r="Z87" s="1">
        <v>9</v>
      </c>
      <c r="AA87" s="18">
        <v>500</v>
      </c>
    </row>
    <row r="88" spans="24:27" x14ac:dyDescent="0.25">
      <c r="X88" s="1">
        <v>1</v>
      </c>
      <c r="Y88" s="1">
        <v>2</v>
      </c>
      <c r="Z88" s="1">
        <v>10</v>
      </c>
      <c r="AA88" s="18">
        <v>490</v>
      </c>
    </row>
    <row r="89" spans="24:27" x14ac:dyDescent="0.25">
      <c r="X89" s="1">
        <v>2</v>
      </c>
      <c r="Y89" s="1">
        <v>2</v>
      </c>
      <c r="Z89" s="1">
        <v>10</v>
      </c>
      <c r="AA89" s="18">
        <v>540</v>
      </c>
    </row>
    <row r="90" spans="24:27" x14ac:dyDescent="0.25">
      <c r="X90" s="1">
        <v>3</v>
      </c>
      <c r="Y90" s="1">
        <v>2</v>
      </c>
      <c r="Z90" s="1">
        <v>10</v>
      </c>
      <c r="AA90" s="18">
        <v>1500</v>
      </c>
    </row>
    <row r="91" spans="24:27" x14ac:dyDescent="0.25">
      <c r="X91" s="1">
        <v>4</v>
      </c>
      <c r="Y91" s="1">
        <v>2</v>
      </c>
      <c r="Z91" s="1">
        <v>10</v>
      </c>
      <c r="AA91" s="18">
        <v>620</v>
      </c>
    </row>
    <row r="92" spans="24:27" x14ac:dyDescent="0.25">
      <c r="X92" s="1">
        <v>1</v>
      </c>
      <c r="Y92" s="1">
        <v>2</v>
      </c>
      <c r="Z92" s="1">
        <v>11</v>
      </c>
      <c r="AA92" s="18">
        <v>370</v>
      </c>
    </row>
    <row r="93" spans="24:27" x14ac:dyDescent="0.25">
      <c r="X93" s="1">
        <v>2</v>
      </c>
      <c r="Y93" s="1">
        <v>2</v>
      </c>
      <c r="Z93" s="1">
        <v>11</v>
      </c>
      <c r="AA93" s="18">
        <v>340</v>
      </c>
    </row>
    <row r="94" spans="24:27" x14ac:dyDescent="0.25">
      <c r="X94" s="1">
        <v>3</v>
      </c>
      <c r="Y94" s="1">
        <v>2</v>
      </c>
      <c r="Z94" s="1">
        <v>11</v>
      </c>
      <c r="AA94" s="18">
        <v>1410</v>
      </c>
    </row>
    <row r="95" spans="24:27" x14ac:dyDescent="0.25">
      <c r="X95" s="1">
        <v>4</v>
      </c>
      <c r="Y95" s="1">
        <v>2</v>
      </c>
      <c r="Z95" s="1">
        <v>11</v>
      </c>
      <c r="AA95" s="18">
        <v>600</v>
      </c>
    </row>
    <row r="96" spans="24:27" x14ac:dyDescent="0.25">
      <c r="X96" s="1">
        <v>1</v>
      </c>
      <c r="Y96" s="1">
        <v>2</v>
      </c>
      <c r="Z96" s="1">
        <v>12</v>
      </c>
      <c r="AA96" s="18">
        <v>300</v>
      </c>
    </row>
    <row r="97" spans="24:27" x14ac:dyDescent="0.25">
      <c r="X97" s="1">
        <v>2</v>
      </c>
      <c r="Y97" s="1">
        <v>2</v>
      </c>
      <c r="Z97" s="1">
        <v>12</v>
      </c>
      <c r="AA97" s="18">
        <v>440</v>
      </c>
    </row>
    <row r="98" spans="24:27" x14ac:dyDescent="0.25">
      <c r="X98" s="1">
        <v>3</v>
      </c>
      <c r="Y98" s="1">
        <v>2</v>
      </c>
      <c r="Z98" s="1">
        <v>12</v>
      </c>
      <c r="AA98" s="18">
        <v>1500</v>
      </c>
    </row>
    <row r="99" spans="24:27" x14ac:dyDescent="0.25">
      <c r="X99" s="1">
        <v>4</v>
      </c>
      <c r="Y99" s="1">
        <v>2</v>
      </c>
      <c r="Z99" s="1">
        <v>12</v>
      </c>
      <c r="AA99" s="18">
        <v>200</v>
      </c>
    </row>
    <row r="100" spans="24:27" x14ac:dyDescent="0.25">
      <c r="X100" s="1">
        <v>1</v>
      </c>
      <c r="Y100" s="1">
        <v>3</v>
      </c>
      <c r="Z100" s="1">
        <v>1</v>
      </c>
      <c r="AA100" s="18">
        <v>1400</v>
      </c>
    </row>
    <row r="101" spans="24:27" x14ac:dyDescent="0.25">
      <c r="X101" s="1">
        <v>2</v>
      </c>
      <c r="Y101" s="1">
        <v>3</v>
      </c>
      <c r="Z101" s="1">
        <v>1</v>
      </c>
      <c r="AA101" s="18">
        <v>0</v>
      </c>
    </row>
    <row r="102" spans="24:27" x14ac:dyDescent="0.25">
      <c r="X102" s="1">
        <v>3</v>
      </c>
      <c r="Y102" s="1">
        <v>3</v>
      </c>
      <c r="Z102" s="1">
        <v>1</v>
      </c>
      <c r="AA102" s="18">
        <v>200</v>
      </c>
    </row>
    <row r="103" spans="24:27" x14ac:dyDescent="0.25">
      <c r="X103" s="1">
        <v>4</v>
      </c>
      <c r="Y103" s="1">
        <v>3</v>
      </c>
      <c r="Z103" s="1">
        <v>1</v>
      </c>
      <c r="AA103" s="18">
        <v>300</v>
      </c>
    </row>
    <row r="104" spans="24:27" x14ac:dyDescent="0.25">
      <c r="X104" s="1">
        <v>1</v>
      </c>
      <c r="Y104" s="1">
        <v>3</v>
      </c>
      <c r="Z104" s="1">
        <v>2</v>
      </c>
      <c r="AA104" s="18">
        <v>800</v>
      </c>
    </row>
    <row r="105" spans="24:27" x14ac:dyDescent="0.25">
      <c r="X105" s="1">
        <v>2</v>
      </c>
      <c r="Y105" s="1">
        <v>3</v>
      </c>
      <c r="Z105" s="1">
        <v>2</v>
      </c>
      <c r="AA105" s="18">
        <v>0</v>
      </c>
    </row>
    <row r="106" spans="24:27" x14ac:dyDescent="0.25">
      <c r="X106" s="1">
        <v>3</v>
      </c>
      <c r="Y106" s="1">
        <v>3</v>
      </c>
      <c r="Z106" s="1">
        <v>2</v>
      </c>
      <c r="AA106" s="18">
        <v>600</v>
      </c>
    </row>
    <row r="107" spans="24:27" x14ac:dyDescent="0.25">
      <c r="X107" s="1">
        <v>4</v>
      </c>
      <c r="Y107" s="1">
        <v>3</v>
      </c>
      <c r="Z107" s="1">
        <v>2</v>
      </c>
      <c r="AA107" s="18">
        <v>210</v>
      </c>
    </row>
    <row r="108" spans="24:27" x14ac:dyDescent="0.25">
      <c r="X108" s="1">
        <v>1</v>
      </c>
      <c r="Y108" s="1">
        <v>3</v>
      </c>
      <c r="Z108" s="1">
        <v>3</v>
      </c>
      <c r="AA108" s="18">
        <v>600</v>
      </c>
    </row>
    <row r="109" spans="24:27" x14ac:dyDescent="0.25">
      <c r="X109" s="1">
        <v>2</v>
      </c>
      <c r="Y109" s="1">
        <v>3</v>
      </c>
      <c r="Z109" s="1">
        <v>3</v>
      </c>
      <c r="AA109" s="18">
        <v>0</v>
      </c>
    </row>
    <row r="110" spans="24:27" x14ac:dyDescent="0.25">
      <c r="X110" s="1">
        <v>3</v>
      </c>
      <c r="Y110" s="1">
        <v>3</v>
      </c>
      <c r="Z110" s="1">
        <v>3</v>
      </c>
      <c r="AA110" s="18">
        <v>1200</v>
      </c>
    </row>
    <row r="111" spans="24:27" x14ac:dyDescent="0.25">
      <c r="X111" s="1">
        <v>4</v>
      </c>
      <c r="Y111" s="1">
        <v>3</v>
      </c>
      <c r="Z111" s="1">
        <v>3</v>
      </c>
      <c r="AA111" s="18">
        <v>300</v>
      </c>
    </row>
    <row r="112" spans="24:27" x14ac:dyDescent="0.25">
      <c r="X112" s="1">
        <v>1</v>
      </c>
      <c r="Y112" s="1">
        <v>3</v>
      </c>
      <c r="Z112" s="1">
        <v>4</v>
      </c>
      <c r="AA112" s="18">
        <v>500</v>
      </c>
    </row>
    <row r="113" spans="24:27" x14ac:dyDescent="0.25">
      <c r="X113" s="1">
        <v>2</v>
      </c>
      <c r="Y113" s="1">
        <v>3</v>
      </c>
      <c r="Z113" s="1">
        <v>4</v>
      </c>
      <c r="AA113" s="18">
        <v>0</v>
      </c>
    </row>
    <row r="114" spans="24:27" x14ac:dyDescent="0.25">
      <c r="X114" s="1">
        <v>3</v>
      </c>
      <c r="Y114" s="1">
        <v>3</v>
      </c>
      <c r="Z114" s="1">
        <v>4</v>
      </c>
      <c r="AA114" s="18">
        <v>1000</v>
      </c>
    </row>
    <row r="115" spans="24:27" x14ac:dyDescent="0.25">
      <c r="X115" s="1">
        <v>4</v>
      </c>
      <c r="Y115" s="1">
        <v>3</v>
      </c>
      <c r="Z115" s="1">
        <v>4</v>
      </c>
      <c r="AA115" s="18">
        <v>370</v>
      </c>
    </row>
    <row r="116" spans="24:27" x14ac:dyDescent="0.25">
      <c r="X116" s="1">
        <v>1</v>
      </c>
      <c r="Y116" s="1">
        <v>3</v>
      </c>
      <c r="Z116" s="1">
        <v>5</v>
      </c>
      <c r="AA116" s="18">
        <v>600</v>
      </c>
    </row>
    <row r="117" spans="24:27" x14ac:dyDescent="0.25">
      <c r="X117" s="1">
        <v>2</v>
      </c>
      <c r="Y117" s="1">
        <v>3</v>
      </c>
      <c r="Z117" s="1">
        <v>5</v>
      </c>
      <c r="AA117" s="18">
        <v>0</v>
      </c>
    </row>
    <row r="118" spans="24:27" x14ac:dyDescent="0.25">
      <c r="X118" s="1">
        <v>3</v>
      </c>
      <c r="Y118" s="1">
        <v>3</v>
      </c>
      <c r="Z118" s="1">
        <v>5</v>
      </c>
      <c r="AA118" s="18">
        <v>400</v>
      </c>
    </row>
    <row r="119" spans="24:27" x14ac:dyDescent="0.25">
      <c r="X119" s="1">
        <v>4</v>
      </c>
      <c r="Y119" s="1">
        <v>3</v>
      </c>
      <c r="Z119" s="1">
        <v>5</v>
      </c>
      <c r="AA119" s="18">
        <v>700</v>
      </c>
    </row>
    <row r="120" spans="24:27" x14ac:dyDescent="0.25">
      <c r="X120" s="1">
        <v>1</v>
      </c>
      <c r="Y120" s="1">
        <v>3</v>
      </c>
      <c r="Z120" s="1">
        <v>6</v>
      </c>
      <c r="AA120" s="18">
        <v>800</v>
      </c>
    </row>
    <row r="121" spans="24:27" x14ac:dyDescent="0.25">
      <c r="X121" s="1">
        <v>2</v>
      </c>
      <c r="Y121" s="1">
        <v>3</v>
      </c>
      <c r="Z121" s="1">
        <v>6</v>
      </c>
      <c r="AA121" s="18">
        <v>0</v>
      </c>
    </row>
    <row r="122" spans="24:27" x14ac:dyDescent="0.25">
      <c r="X122" s="1">
        <v>3</v>
      </c>
      <c r="Y122" s="1">
        <v>3</v>
      </c>
      <c r="Z122" s="1">
        <v>6</v>
      </c>
      <c r="AA122" s="18">
        <v>680</v>
      </c>
    </row>
    <row r="123" spans="24:27" x14ac:dyDescent="0.25">
      <c r="X123" s="1">
        <v>4</v>
      </c>
      <c r="Y123" s="1">
        <v>3</v>
      </c>
      <c r="Z123" s="1">
        <v>6</v>
      </c>
      <c r="AA123" s="18">
        <v>300</v>
      </c>
    </row>
    <row r="124" spans="24:27" x14ac:dyDescent="0.25">
      <c r="X124" s="1">
        <v>1</v>
      </c>
      <c r="Y124" s="1">
        <v>3</v>
      </c>
      <c r="Z124" s="1">
        <v>7</v>
      </c>
      <c r="AA124" s="18">
        <v>600</v>
      </c>
    </row>
    <row r="125" spans="24:27" x14ac:dyDescent="0.25">
      <c r="X125" s="1">
        <v>2</v>
      </c>
      <c r="Y125" s="1">
        <v>3</v>
      </c>
      <c r="Z125" s="1">
        <v>7</v>
      </c>
      <c r="AA125" s="18">
        <v>0</v>
      </c>
    </row>
    <row r="126" spans="24:27" x14ac:dyDescent="0.25">
      <c r="X126" s="1">
        <v>3</v>
      </c>
      <c r="Y126" s="1">
        <v>3</v>
      </c>
      <c r="Z126" s="1">
        <v>7</v>
      </c>
      <c r="AA126" s="18">
        <v>1200</v>
      </c>
    </row>
    <row r="127" spans="24:27" x14ac:dyDescent="0.25">
      <c r="X127" s="1">
        <v>4</v>
      </c>
      <c r="Y127" s="1">
        <v>3</v>
      </c>
      <c r="Z127" s="1">
        <v>7</v>
      </c>
      <c r="AA127" s="18">
        <v>130</v>
      </c>
    </row>
    <row r="128" spans="24:27" x14ac:dyDescent="0.25">
      <c r="X128" s="1">
        <v>1</v>
      </c>
      <c r="Y128" s="1">
        <v>3</v>
      </c>
      <c r="Z128" s="1">
        <v>8</v>
      </c>
      <c r="AA128" s="18">
        <v>2000</v>
      </c>
    </row>
    <row r="129" spans="24:27" x14ac:dyDescent="0.25">
      <c r="X129" s="1">
        <v>2</v>
      </c>
      <c r="Y129" s="1">
        <v>3</v>
      </c>
      <c r="Z129" s="1">
        <v>8</v>
      </c>
      <c r="AA129" s="18">
        <v>0</v>
      </c>
    </row>
    <row r="130" spans="24:27" x14ac:dyDescent="0.25">
      <c r="X130" s="1">
        <v>3</v>
      </c>
      <c r="Y130" s="1">
        <v>3</v>
      </c>
      <c r="Z130" s="1">
        <v>8</v>
      </c>
      <c r="AA130" s="18">
        <v>600</v>
      </c>
    </row>
    <row r="131" spans="24:27" x14ac:dyDescent="0.25">
      <c r="X131" s="1">
        <v>4</v>
      </c>
      <c r="Y131" s="1">
        <v>3</v>
      </c>
      <c r="Z131" s="1">
        <v>8</v>
      </c>
      <c r="AA131" s="18">
        <v>400</v>
      </c>
    </row>
    <row r="132" spans="24:27" x14ac:dyDescent="0.25">
      <c r="X132" s="1">
        <v>1</v>
      </c>
      <c r="Y132" s="1">
        <v>3</v>
      </c>
      <c r="Z132" s="1">
        <v>9</v>
      </c>
      <c r="AA132" s="18">
        <v>400</v>
      </c>
    </row>
    <row r="133" spans="24:27" x14ac:dyDescent="0.25">
      <c r="X133" s="1">
        <v>2</v>
      </c>
      <c r="Y133" s="1">
        <v>3</v>
      </c>
      <c r="Z133" s="1">
        <v>9</v>
      </c>
      <c r="AA133" s="18">
        <v>0</v>
      </c>
    </row>
    <row r="134" spans="24:27" x14ac:dyDescent="0.25">
      <c r="X134" s="1">
        <v>3</v>
      </c>
      <c r="Y134" s="1">
        <v>3</v>
      </c>
      <c r="Z134" s="1">
        <v>9</v>
      </c>
      <c r="AA134" s="18">
        <v>600</v>
      </c>
    </row>
    <row r="135" spans="24:27" x14ac:dyDescent="0.25">
      <c r="X135" s="1">
        <v>4</v>
      </c>
      <c r="Y135" s="1">
        <v>3</v>
      </c>
      <c r="Z135" s="1">
        <v>9</v>
      </c>
      <c r="AA135" s="18">
        <v>250</v>
      </c>
    </row>
    <row r="136" spans="24:27" x14ac:dyDescent="0.25">
      <c r="X136" s="1">
        <v>1</v>
      </c>
      <c r="Y136" s="1">
        <v>3</v>
      </c>
      <c r="Z136" s="1">
        <v>10</v>
      </c>
      <c r="AA136" s="18">
        <v>980</v>
      </c>
    </row>
    <row r="137" spans="24:27" x14ac:dyDescent="0.25">
      <c r="X137" s="1">
        <v>2</v>
      </c>
      <c r="Y137" s="1">
        <v>3</v>
      </c>
      <c r="Z137" s="1">
        <v>10</v>
      </c>
      <c r="AA137" s="18">
        <v>0</v>
      </c>
    </row>
    <row r="138" spans="24:27" x14ac:dyDescent="0.25">
      <c r="X138" s="1">
        <v>3</v>
      </c>
      <c r="Y138" s="1">
        <v>3</v>
      </c>
      <c r="Z138" s="1">
        <v>10</v>
      </c>
      <c r="AA138" s="18">
        <v>1000</v>
      </c>
    </row>
    <row r="139" spans="24:27" x14ac:dyDescent="0.25">
      <c r="X139" s="1">
        <v>4</v>
      </c>
      <c r="Y139" s="1">
        <v>3</v>
      </c>
      <c r="Z139" s="1">
        <v>10</v>
      </c>
      <c r="AA139" s="18">
        <v>310</v>
      </c>
    </row>
    <row r="140" spans="24:27" x14ac:dyDescent="0.25">
      <c r="X140" s="1">
        <v>1</v>
      </c>
      <c r="Y140" s="1">
        <v>3</v>
      </c>
      <c r="Z140" s="1">
        <v>11</v>
      </c>
      <c r="AA140" s="18">
        <v>740</v>
      </c>
    </row>
    <row r="141" spans="24:27" x14ac:dyDescent="0.25">
      <c r="X141" s="1">
        <v>2</v>
      </c>
      <c r="Y141" s="1">
        <v>3</v>
      </c>
      <c r="Z141" s="1">
        <v>11</v>
      </c>
      <c r="AA141" s="18">
        <v>0</v>
      </c>
    </row>
    <row r="142" spans="24:27" x14ac:dyDescent="0.25">
      <c r="X142" s="1">
        <v>3</v>
      </c>
      <c r="Y142" s="1">
        <v>3</v>
      </c>
      <c r="Z142" s="1">
        <v>11</v>
      </c>
      <c r="AA142" s="18">
        <v>940</v>
      </c>
    </row>
    <row r="143" spans="24:27" x14ac:dyDescent="0.25">
      <c r="X143" s="1">
        <v>4</v>
      </c>
      <c r="Y143" s="1">
        <v>3</v>
      </c>
      <c r="Z143" s="1">
        <v>11</v>
      </c>
      <c r="AA143" s="18">
        <v>300</v>
      </c>
    </row>
    <row r="144" spans="24:27" x14ac:dyDescent="0.25">
      <c r="X144" s="1">
        <v>1</v>
      </c>
      <c r="Y144" s="1">
        <v>3</v>
      </c>
      <c r="Z144" s="1">
        <v>12</v>
      </c>
      <c r="AA144" s="18">
        <v>600</v>
      </c>
    </row>
    <row r="145" spans="24:27" x14ac:dyDescent="0.25">
      <c r="X145" s="1">
        <v>2</v>
      </c>
      <c r="Y145" s="1">
        <v>3</v>
      </c>
      <c r="Z145" s="1">
        <v>12</v>
      </c>
      <c r="AA145" s="18">
        <v>0</v>
      </c>
    </row>
    <row r="146" spans="24:27" x14ac:dyDescent="0.25">
      <c r="X146" s="1">
        <v>3</v>
      </c>
      <c r="Y146" s="1">
        <v>3</v>
      </c>
      <c r="Z146" s="1">
        <v>12</v>
      </c>
      <c r="AA146" s="18">
        <v>1000</v>
      </c>
    </row>
    <row r="147" spans="24:27" x14ac:dyDescent="0.25">
      <c r="X147" s="1">
        <v>4</v>
      </c>
      <c r="Y147" s="1">
        <v>3</v>
      </c>
      <c r="Z147" s="1">
        <v>12</v>
      </c>
      <c r="AA147" s="18">
        <v>100</v>
      </c>
    </row>
    <row r="148" spans="24:27" x14ac:dyDescent="0.25">
      <c r="X148" s="1">
        <v>1</v>
      </c>
      <c r="Y148" s="1">
        <v>4</v>
      </c>
      <c r="Z148" s="1">
        <v>1</v>
      </c>
      <c r="AA148" s="18">
        <v>0</v>
      </c>
    </row>
    <row r="149" spans="24:27" x14ac:dyDescent="0.25">
      <c r="X149" s="1">
        <v>2</v>
      </c>
      <c r="Y149" s="1">
        <v>4</v>
      </c>
      <c r="Z149" s="1">
        <v>1</v>
      </c>
      <c r="AA149" s="18">
        <v>200</v>
      </c>
    </row>
    <row r="150" spans="24:27" x14ac:dyDescent="0.25">
      <c r="X150" s="1">
        <v>3</v>
      </c>
      <c r="Y150" s="1">
        <v>4</v>
      </c>
      <c r="Z150" s="1">
        <v>1</v>
      </c>
      <c r="AA150" s="18">
        <v>0</v>
      </c>
    </row>
    <row r="151" spans="24:27" x14ac:dyDescent="0.25">
      <c r="X151" s="1">
        <v>4</v>
      </c>
      <c r="Y151" s="1">
        <v>4</v>
      </c>
      <c r="Z151" s="1">
        <v>1</v>
      </c>
      <c r="AA151" s="18">
        <v>300</v>
      </c>
    </row>
    <row r="152" spans="24:27" x14ac:dyDescent="0.25">
      <c r="X152" s="1">
        <v>1</v>
      </c>
      <c r="Y152" s="1">
        <v>4</v>
      </c>
      <c r="Z152" s="1">
        <v>2</v>
      </c>
      <c r="AA152" s="18">
        <v>0</v>
      </c>
    </row>
    <row r="153" spans="24:27" x14ac:dyDescent="0.25">
      <c r="X153" s="1">
        <v>2</v>
      </c>
      <c r="Y153" s="1">
        <v>4</v>
      </c>
      <c r="Z153" s="1">
        <v>2</v>
      </c>
      <c r="AA153" s="18">
        <v>300</v>
      </c>
    </row>
    <row r="154" spans="24:27" x14ac:dyDescent="0.25">
      <c r="X154" s="1">
        <v>3</v>
      </c>
      <c r="Y154" s="1">
        <v>4</v>
      </c>
      <c r="Z154" s="1">
        <v>2</v>
      </c>
      <c r="AA154" s="18">
        <v>0</v>
      </c>
    </row>
    <row r="155" spans="24:27" x14ac:dyDescent="0.25">
      <c r="X155" s="1">
        <v>4</v>
      </c>
      <c r="Y155" s="1">
        <v>4</v>
      </c>
      <c r="Z155" s="1">
        <v>2</v>
      </c>
      <c r="AA155" s="18">
        <v>210</v>
      </c>
    </row>
    <row r="156" spans="24:27" x14ac:dyDescent="0.25">
      <c r="X156" s="1">
        <v>1</v>
      </c>
      <c r="Y156" s="1">
        <v>4</v>
      </c>
      <c r="Z156" s="1">
        <v>3</v>
      </c>
      <c r="AA156" s="18">
        <v>0</v>
      </c>
    </row>
    <row r="157" spans="24:27" x14ac:dyDescent="0.25">
      <c r="X157" s="1">
        <v>2</v>
      </c>
      <c r="Y157" s="1">
        <v>4</v>
      </c>
      <c r="Z157" s="1">
        <v>3</v>
      </c>
      <c r="AA157" s="18">
        <v>400</v>
      </c>
    </row>
    <row r="158" spans="24:27" x14ac:dyDescent="0.25">
      <c r="X158" s="1">
        <v>3</v>
      </c>
      <c r="Y158" s="1">
        <v>4</v>
      </c>
      <c r="Z158" s="1">
        <v>3</v>
      </c>
      <c r="AA158" s="18">
        <v>0</v>
      </c>
    </row>
    <row r="159" spans="24:27" x14ac:dyDescent="0.25">
      <c r="X159" s="1">
        <v>4</v>
      </c>
      <c r="Y159" s="1">
        <v>4</v>
      </c>
      <c r="Z159" s="1">
        <v>3</v>
      </c>
      <c r="AA159" s="18">
        <v>300</v>
      </c>
    </row>
    <row r="160" spans="24:27" x14ac:dyDescent="0.25">
      <c r="X160" s="1">
        <v>1</v>
      </c>
      <c r="Y160" s="1">
        <v>4</v>
      </c>
      <c r="Z160" s="1">
        <v>4</v>
      </c>
      <c r="AA160" s="18">
        <v>0</v>
      </c>
    </row>
    <row r="161" spans="24:27" x14ac:dyDescent="0.25">
      <c r="X161" s="1">
        <v>2</v>
      </c>
      <c r="Y161" s="1">
        <v>4</v>
      </c>
      <c r="Z161" s="1">
        <v>4</v>
      </c>
      <c r="AA161" s="18">
        <v>300</v>
      </c>
    </row>
    <row r="162" spans="24:27" x14ac:dyDescent="0.25">
      <c r="X162" s="1">
        <v>3</v>
      </c>
      <c r="Y162" s="1">
        <v>4</v>
      </c>
      <c r="Z162" s="1">
        <v>4</v>
      </c>
      <c r="AA162" s="18">
        <v>0</v>
      </c>
    </row>
    <row r="163" spans="24:27" x14ac:dyDescent="0.25">
      <c r="X163" s="1">
        <v>4</v>
      </c>
      <c r="Y163" s="1">
        <v>4</v>
      </c>
      <c r="Z163" s="1">
        <v>4</v>
      </c>
      <c r="AA163" s="18">
        <v>370</v>
      </c>
    </row>
    <row r="164" spans="24:27" x14ac:dyDescent="0.25">
      <c r="X164" s="1">
        <v>1</v>
      </c>
      <c r="Y164" s="1">
        <v>4</v>
      </c>
      <c r="Z164" s="1">
        <v>5</v>
      </c>
      <c r="AA164" s="18">
        <v>0</v>
      </c>
    </row>
    <row r="165" spans="24:27" x14ac:dyDescent="0.25">
      <c r="X165" s="1">
        <v>2</v>
      </c>
      <c r="Y165" s="1">
        <v>4</v>
      </c>
      <c r="Z165" s="1">
        <v>5</v>
      </c>
      <c r="AA165" s="18">
        <v>200</v>
      </c>
    </row>
    <row r="166" spans="24:27" x14ac:dyDescent="0.25">
      <c r="X166" s="1">
        <v>3</v>
      </c>
      <c r="Y166" s="1">
        <v>4</v>
      </c>
      <c r="Z166" s="1">
        <v>5</v>
      </c>
      <c r="AA166" s="18">
        <v>0</v>
      </c>
    </row>
    <row r="167" spans="24:27" x14ac:dyDescent="0.25">
      <c r="X167" s="1">
        <v>4</v>
      </c>
      <c r="Y167" s="1">
        <v>4</v>
      </c>
      <c r="Z167" s="1">
        <v>5</v>
      </c>
      <c r="AA167" s="18">
        <v>700</v>
      </c>
    </row>
    <row r="168" spans="24:27" x14ac:dyDescent="0.25">
      <c r="X168" s="1">
        <v>1</v>
      </c>
      <c r="Y168" s="1">
        <v>4</v>
      </c>
      <c r="Z168" s="1">
        <v>6</v>
      </c>
      <c r="AA168" s="18">
        <v>0</v>
      </c>
    </row>
    <row r="169" spans="24:27" x14ac:dyDescent="0.25">
      <c r="X169" s="1">
        <v>2</v>
      </c>
      <c r="Y169" s="1">
        <v>4</v>
      </c>
      <c r="Z169" s="1">
        <v>6</v>
      </c>
      <c r="AA169" s="18">
        <v>700</v>
      </c>
    </row>
    <row r="170" spans="24:27" x14ac:dyDescent="0.25">
      <c r="X170" s="1">
        <v>3</v>
      </c>
      <c r="Y170" s="1">
        <v>4</v>
      </c>
      <c r="Z170" s="1">
        <v>6</v>
      </c>
      <c r="AA170" s="18">
        <v>0</v>
      </c>
    </row>
    <row r="171" spans="24:27" x14ac:dyDescent="0.25">
      <c r="X171" s="1">
        <v>4</v>
      </c>
      <c r="Y171" s="1">
        <v>4</v>
      </c>
      <c r="Z171" s="1">
        <v>6</v>
      </c>
      <c r="AA171" s="18">
        <v>300</v>
      </c>
    </row>
    <row r="172" spans="24:27" x14ac:dyDescent="0.25">
      <c r="X172" s="1">
        <v>1</v>
      </c>
      <c r="Y172" s="1">
        <v>4</v>
      </c>
      <c r="Z172" s="1">
        <v>7</v>
      </c>
      <c r="AA172" s="18">
        <v>0</v>
      </c>
    </row>
    <row r="173" spans="24:27" x14ac:dyDescent="0.25">
      <c r="X173" s="1">
        <v>2</v>
      </c>
      <c r="Y173" s="1">
        <v>4</v>
      </c>
      <c r="Z173" s="1">
        <v>7</v>
      </c>
      <c r="AA173" s="18">
        <v>300</v>
      </c>
    </row>
    <row r="174" spans="24:27" x14ac:dyDescent="0.25">
      <c r="X174" s="1">
        <v>3</v>
      </c>
      <c r="Y174" s="1">
        <v>4</v>
      </c>
      <c r="Z174" s="1">
        <v>7</v>
      </c>
      <c r="AA174" s="18">
        <v>0</v>
      </c>
    </row>
    <row r="175" spans="24:27" x14ac:dyDescent="0.25">
      <c r="X175" s="1">
        <v>4</v>
      </c>
      <c r="Y175" s="1">
        <v>4</v>
      </c>
      <c r="Z175" s="1">
        <v>7</v>
      </c>
      <c r="AA175" s="18">
        <v>130</v>
      </c>
    </row>
    <row r="176" spans="24:27" x14ac:dyDescent="0.25">
      <c r="X176" s="1">
        <v>1</v>
      </c>
      <c r="Y176" s="1">
        <v>4</v>
      </c>
      <c r="Z176" s="1">
        <v>8</v>
      </c>
      <c r="AA176" s="18">
        <v>0</v>
      </c>
    </row>
    <row r="177" spans="24:27" x14ac:dyDescent="0.25">
      <c r="X177" s="1">
        <v>2</v>
      </c>
      <c r="Y177" s="1">
        <v>4</v>
      </c>
      <c r="Z177" s="1">
        <v>8</v>
      </c>
      <c r="AA177" s="18">
        <v>300</v>
      </c>
    </row>
    <row r="178" spans="24:27" x14ac:dyDescent="0.25">
      <c r="X178" s="1">
        <v>3</v>
      </c>
      <c r="Y178" s="1">
        <v>4</v>
      </c>
      <c r="Z178" s="1">
        <v>8</v>
      </c>
      <c r="AA178" s="18">
        <v>0</v>
      </c>
    </row>
    <row r="179" spans="24:27" x14ac:dyDescent="0.25">
      <c r="X179" s="1">
        <v>4</v>
      </c>
      <c r="Y179" s="1">
        <v>4</v>
      </c>
      <c r="Z179" s="1">
        <v>8</v>
      </c>
      <c r="AA179" s="18">
        <v>400</v>
      </c>
    </row>
    <row r="180" spans="24:27" x14ac:dyDescent="0.25">
      <c r="X180" s="1">
        <v>1</v>
      </c>
      <c r="Y180" s="1">
        <v>4</v>
      </c>
      <c r="Z180" s="1">
        <v>9</v>
      </c>
      <c r="AA180" s="18">
        <v>0</v>
      </c>
    </row>
    <row r="181" spans="24:27" x14ac:dyDescent="0.25">
      <c r="X181" s="1">
        <v>2</v>
      </c>
      <c r="Y181" s="1">
        <v>4</v>
      </c>
      <c r="Z181" s="1">
        <v>9</v>
      </c>
      <c r="AA181" s="18">
        <v>200</v>
      </c>
    </row>
    <row r="182" spans="24:27" x14ac:dyDescent="0.25">
      <c r="X182" s="1">
        <v>3</v>
      </c>
      <c r="Y182" s="1">
        <v>4</v>
      </c>
      <c r="Z182" s="1">
        <v>9</v>
      </c>
      <c r="AA182" s="18">
        <v>0</v>
      </c>
    </row>
    <row r="183" spans="24:27" x14ac:dyDescent="0.25">
      <c r="X183" s="1">
        <v>4</v>
      </c>
      <c r="Y183" s="1">
        <v>4</v>
      </c>
      <c r="Z183" s="1">
        <v>9</v>
      </c>
      <c r="AA183" s="18">
        <v>250</v>
      </c>
    </row>
    <row r="184" spans="24:27" x14ac:dyDescent="0.25">
      <c r="X184" s="1">
        <v>1</v>
      </c>
      <c r="Y184" s="1">
        <v>4</v>
      </c>
      <c r="Z184" s="1">
        <v>10</v>
      </c>
      <c r="AA184" s="18">
        <v>0</v>
      </c>
    </row>
    <row r="185" spans="24:27" x14ac:dyDescent="0.25">
      <c r="X185" s="1">
        <v>2</v>
      </c>
      <c r="Y185" s="1">
        <v>4</v>
      </c>
      <c r="Z185" s="1">
        <v>10</v>
      </c>
      <c r="AA185" s="18">
        <v>270</v>
      </c>
    </row>
    <row r="186" spans="24:27" x14ac:dyDescent="0.25">
      <c r="X186" s="1">
        <v>3</v>
      </c>
      <c r="Y186" s="1">
        <v>4</v>
      </c>
      <c r="Z186" s="1">
        <v>10</v>
      </c>
      <c r="AA186" s="18">
        <v>0</v>
      </c>
    </row>
    <row r="187" spans="24:27" x14ac:dyDescent="0.25">
      <c r="X187" s="1">
        <v>4</v>
      </c>
      <c r="Y187" s="1">
        <v>4</v>
      </c>
      <c r="Z187" s="1">
        <v>10</v>
      </c>
      <c r="AA187" s="18">
        <v>310</v>
      </c>
    </row>
    <row r="188" spans="24:27" x14ac:dyDescent="0.25">
      <c r="X188" s="1">
        <v>1</v>
      </c>
      <c r="Y188" s="1">
        <v>4</v>
      </c>
      <c r="Z188" s="1">
        <v>11</v>
      </c>
      <c r="AA188" s="18">
        <v>0</v>
      </c>
    </row>
    <row r="189" spans="24:27" x14ac:dyDescent="0.25">
      <c r="X189" s="1">
        <v>2</v>
      </c>
      <c r="Y189" s="1">
        <v>4</v>
      </c>
      <c r="Z189" s="1">
        <v>11</v>
      </c>
      <c r="AA189" s="18">
        <v>170</v>
      </c>
    </row>
    <row r="190" spans="24:27" x14ac:dyDescent="0.25">
      <c r="X190" s="1">
        <v>3</v>
      </c>
      <c r="Y190" s="1">
        <v>4</v>
      </c>
      <c r="Z190" s="1">
        <v>11</v>
      </c>
      <c r="AA190" s="18">
        <v>0</v>
      </c>
    </row>
    <row r="191" spans="24:27" x14ac:dyDescent="0.25">
      <c r="X191" s="1">
        <v>4</v>
      </c>
      <c r="Y191" s="1">
        <v>4</v>
      </c>
      <c r="Z191" s="1">
        <v>11</v>
      </c>
      <c r="AA191" s="18">
        <v>300</v>
      </c>
    </row>
    <row r="192" spans="24:27" x14ac:dyDescent="0.25">
      <c r="X192" s="1">
        <v>1</v>
      </c>
      <c r="Y192" s="1">
        <v>4</v>
      </c>
      <c r="Z192" s="1">
        <v>12</v>
      </c>
      <c r="AA192" s="18">
        <v>0</v>
      </c>
    </row>
    <row r="193" spans="24:27" x14ac:dyDescent="0.25">
      <c r="X193" s="1">
        <v>2</v>
      </c>
      <c r="Y193" s="1">
        <v>4</v>
      </c>
      <c r="Z193" s="1">
        <v>12</v>
      </c>
      <c r="AA193" s="18">
        <v>220</v>
      </c>
    </row>
    <row r="194" spans="24:27" x14ac:dyDescent="0.25">
      <c r="X194" s="1">
        <v>3</v>
      </c>
      <c r="Y194" s="1">
        <v>4</v>
      </c>
      <c r="Z194" s="1">
        <v>12</v>
      </c>
      <c r="AA194" s="18">
        <v>0</v>
      </c>
    </row>
    <row r="195" spans="24:27" x14ac:dyDescent="0.25">
      <c r="X195" s="1">
        <v>4</v>
      </c>
      <c r="Y195" s="1">
        <v>4</v>
      </c>
      <c r="Z195" s="1">
        <v>12</v>
      </c>
      <c r="AA195" s="18">
        <v>100</v>
      </c>
    </row>
    <row r="196" spans="24:27" x14ac:dyDescent="0.25">
      <c r="X196" s="1">
        <v>1</v>
      </c>
      <c r="Y196" s="1">
        <v>5</v>
      </c>
      <c r="Z196" s="1">
        <v>1</v>
      </c>
      <c r="AA196" s="18">
        <v>1400</v>
      </c>
    </row>
    <row r="197" spans="24:27" x14ac:dyDescent="0.25">
      <c r="X197" s="1">
        <v>2</v>
      </c>
      <c r="Y197" s="1">
        <v>5</v>
      </c>
      <c r="Z197" s="1">
        <v>1</v>
      </c>
      <c r="AA197" s="18">
        <v>400</v>
      </c>
    </row>
    <row r="198" spans="24:27" x14ac:dyDescent="0.25">
      <c r="X198" s="1">
        <v>3</v>
      </c>
      <c r="Y198" s="1">
        <v>5</v>
      </c>
      <c r="Z198" s="1">
        <v>1</v>
      </c>
      <c r="AA198" s="18">
        <v>150</v>
      </c>
    </row>
    <row r="199" spans="24:27" x14ac:dyDescent="0.25">
      <c r="X199" s="1">
        <v>4</v>
      </c>
      <c r="Y199" s="1">
        <v>5</v>
      </c>
      <c r="Z199" s="1">
        <v>1</v>
      </c>
      <c r="AA199" s="18">
        <v>300</v>
      </c>
    </row>
    <row r="200" spans="24:27" x14ac:dyDescent="0.25">
      <c r="X200" s="1">
        <v>1</v>
      </c>
      <c r="Y200" s="1">
        <v>5</v>
      </c>
      <c r="Z200" s="1">
        <v>2</v>
      </c>
      <c r="AA200" s="18">
        <v>800</v>
      </c>
    </row>
    <row r="201" spans="24:27" x14ac:dyDescent="0.25">
      <c r="X201" s="1">
        <v>2</v>
      </c>
      <c r="Y201" s="1">
        <v>5</v>
      </c>
      <c r="Z201" s="1">
        <v>2</v>
      </c>
      <c r="AA201" s="18">
        <v>600</v>
      </c>
    </row>
    <row r="202" spans="24:27" x14ac:dyDescent="0.25">
      <c r="X202" s="1">
        <v>3</v>
      </c>
      <c r="Y202" s="1">
        <v>5</v>
      </c>
      <c r="Z202" s="1">
        <v>2</v>
      </c>
      <c r="AA202" s="18">
        <v>450</v>
      </c>
    </row>
    <row r="203" spans="24:27" x14ac:dyDescent="0.25">
      <c r="X203" s="1">
        <v>4</v>
      </c>
      <c r="Y203" s="1">
        <v>5</v>
      </c>
      <c r="Z203" s="1">
        <v>2</v>
      </c>
      <c r="AA203" s="18">
        <v>210</v>
      </c>
    </row>
    <row r="204" spans="24:27" x14ac:dyDescent="0.25">
      <c r="X204" s="1">
        <v>1</v>
      </c>
      <c r="Y204" s="1">
        <v>5</v>
      </c>
      <c r="Z204" s="1">
        <v>3</v>
      </c>
      <c r="AA204" s="18">
        <v>600</v>
      </c>
    </row>
    <row r="205" spans="24:27" x14ac:dyDescent="0.25">
      <c r="X205" s="1">
        <v>2</v>
      </c>
      <c r="Y205" s="1">
        <v>5</v>
      </c>
      <c r="Z205" s="1">
        <v>3</v>
      </c>
      <c r="AA205" s="18">
        <v>800</v>
      </c>
    </row>
    <row r="206" spans="24:27" x14ac:dyDescent="0.25">
      <c r="X206" s="1">
        <v>3</v>
      </c>
      <c r="Y206" s="1">
        <v>5</v>
      </c>
      <c r="Z206" s="1">
        <v>3</v>
      </c>
      <c r="AA206" s="18">
        <v>900</v>
      </c>
    </row>
    <row r="207" spans="24:27" x14ac:dyDescent="0.25">
      <c r="X207" s="1">
        <v>4</v>
      </c>
      <c r="Y207" s="1">
        <v>5</v>
      </c>
      <c r="Z207" s="1">
        <v>3</v>
      </c>
      <c r="AA207" s="18">
        <v>300</v>
      </c>
    </row>
    <row r="208" spans="24:27" x14ac:dyDescent="0.25">
      <c r="X208" s="1">
        <v>1</v>
      </c>
      <c r="Y208" s="1">
        <v>5</v>
      </c>
      <c r="Z208" s="1">
        <v>4</v>
      </c>
      <c r="AA208" s="18">
        <v>500</v>
      </c>
    </row>
    <row r="209" spans="24:27" x14ac:dyDescent="0.25">
      <c r="X209" s="1">
        <v>2</v>
      </c>
      <c r="Y209" s="1">
        <v>5</v>
      </c>
      <c r="Z209" s="1">
        <v>4</v>
      </c>
      <c r="AA209" s="18">
        <v>600</v>
      </c>
    </row>
    <row r="210" spans="24:27" x14ac:dyDescent="0.25">
      <c r="X210" s="1">
        <v>3</v>
      </c>
      <c r="Y210" s="1">
        <v>5</v>
      </c>
      <c r="Z210" s="1">
        <v>4</v>
      </c>
      <c r="AA210" s="18">
        <v>750</v>
      </c>
    </row>
    <row r="211" spans="24:27" x14ac:dyDescent="0.25">
      <c r="X211" s="1">
        <v>4</v>
      </c>
      <c r="Y211" s="1">
        <v>5</v>
      </c>
      <c r="Z211" s="1">
        <v>4</v>
      </c>
      <c r="AA211" s="18">
        <v>370</v>
      </c>
    </row>
    <row r="212" spans="24:27" x14ac:dyDescent="0.25">
      <c r="X212" s="1">
        <v>1</v>
      </c>
      <c r="Y212" s="1">
        <v>5</v>
      </c>
      <c r="Z212" s="1">
        <v>5</v>
      </c>
      <c r="AA212" s="18">
        <v>600</v>
      </c>
    </row>
    <row r="213" spans="24:27" x14ac:dyDescent="0.25">
      <c r="X213" s="1">
        <v>2</v>
      </c>
      <c r="Y213" s="1">
        <v>5</v>
      </c>
      <c r="Z213" s="1">
        <v>5</v>
      </c>
      <c r="AA213" s="18">
        <v>400</v>
      </c>
    </row>
    <row r="214" spans="24:27" x14ac:dyDescent="0.25">
      <c r="X214" s="1">
        <v>3</v>
      </c>
      <c r="Y214" s="1">
        <v>5</v>
      </c>
      <c r="Z214" s="1">
        <v>5</v>
      </c>
      <c r="AA214" s="18">
        <v>300</v>
      </c>
    </row>
    <row r="215" spans="24:27" x14ac:dyDescent="0.25">
      <c r="X215" s="1">
        <v>4</v>
      </c>
      <c r="Y215" s="1">
        <v>5</v>
      </c>
      <c r="Z215" s="1">
        <v>5</v>
      </c>
      <c r="AA215" s="18">
        <v>700</v>
      </c>
    </row>
    <row r="216" spans="24:27" x14ac:dyDescent="0.25">
      <c r="X216" s="1">
        <v>1</v>
      </c>
      <c r="Y216" s="1">
        <v>5</v>
      </c>
      <c r="Z216" s="1">
        <v>6</v>
      </c>
      <c r="AA216" s="18">
        <v>800</v>
      </c>
    </row>
    <row r="217" spans="24:27" x14ac:dyDescent="0.25">
      <c r="X217" s="1">
        <v>2</v>
      </c>
      <c r="Y217" s="1">
        <v>5</v>
      </c>
      <c r="Z217" s="1">
        <v>6</v>
      </c>
      <c r="AA217" s="18">
        <v>1400</v>
      </c>
    </row>
    <row r="218" spans="24:27" x14ac:dyDescent="0.25">
      <c r="X218" s="1">
        <v>3</v>
      </c>
      <c r="Y218" s="1">
        <v>5</v>
      </c>
      <c r="Z218" s="1">
        <v>6</v>
      </c>
      <c r="AA218" s="18">
        <v>510</v>
      </c>
    </row>
    <row r="219" spans="24:27" x14ac:dyDescent="0.25">
      <c r="X219" s="1">
        <v>4</v>
      </c>
      <c r="Y219" s="1">
        <v>5</v>
      </c>
      <c r="Z219" s="1">
        <v>6</v>
      </c>
      <c r="AA219" s="18">
        <v>300</v>
      </c>
    </row>
    <row r="220" spans="24:27" x14ac:dyDescent="0.25">
      <c r="X220" s="1">
        <v>1</v>
      </c>
      <c r="Y220" s="1">
        <v>5</v>
      </c>
      <c r="Z220" s="1">
        <v>7</v>
      </c>
      <c r="AA220" s="18">
        <v>600</v>
      </c>
    </row>
    <row r="221" spans="24:27" x14ac:dyDescent="0.25">
      <c r="X221" s="1">
        <v>2</v>
      </c>
      <c r="Y221" s="1">
        <v>5</v>
      </c>
      <c r="Z221" s="1">
        <v>7</v>
      </c>
      <c r="AA221" s="18">
        <v>600</v>
      </c>
    </row>
    <row r="222" spans="24:27" x14ac:dyDescent="0.25">
      <c r="X222" s="1">
        <v>3</v>
      </c>
      <c r="Y222" s="1">
        <v>5</v>
      </c>
      <c r="Z222" s="1">
        <v>7</v>
      </c>
      <c r="AA222" s="18">
        <v>900</v>
      </c>
    </row>
    <row r="223" spans="24:27" x14ac:dyDescent="0.25">
      <c r="X223" s="1">
        <v>4</v>
      </c>
      <c r="Y223" s="1">
        <v>5</v>
      </c>
      <c r="Z223" s="1">
        <v>7</v>
      </c>
      <c r="AA223" s="18">
        <v>130</v>
      </c>
    </row>
    <row r="224" spans="24:27" x14ac:dyDescent="0.25">
      <c r="X224" s="1">
        <v>1</v>
      </c>
      <c r="Y224" s="1">
        <v>5</v>
      </c>
      <c r="Z224" s="1">
        <v>8</v>
      </c>
      <c r="AA224" s="18">
        <v>2000</v>
      </c>
    </row>
    <row r="225" spans="24:27" x14ac:dyDescent="0.25">
      <c r="X225" s="1">
        <v>2</v>
      </c>
      <c r="Y225" s="1">
        <v>5</v>
      </c>
      <c r="Z225" s="1">
        <v>8</v>
      </c>
      <c r="AA225" s="18">
        <v>600</v>
      </c>
    </row>
    <row r="226" spans="24:27" x14ac:dyDescent="0.25">
      <c r="X226" s="1">
        <v>3</v>
      </c>
      <c r="Y226" s="1">
        <v>5</v>
      </c>
      <c r="Z226" s="1">
        <v>8</v>
      </c>
      <c r="AA226" s="18">
        <v>450</v>
      </c>
    </row>
    <row r="227" spans="24:27" x14ac:dyDescent="0.25">
      <c r="X227" s="1">
        <v>4</v>
      </c>
      <c r="Y227" s="1">
        <v>5</v>
      </c>
      <c r="Z227" s="1">
        <v>8</v>
      </c>
      <c r="AA227" s="18">
        <v>400</v>
      </c>
    </row>
    <row r="228" spans="24:27" x14ac:dyDescent="0.25">
      <c r="X228" s="1">
        <v>1</v>
      </c>
      <c r="Y228" s="1">
        <v>5</v>
      </c>
      <c r="Z228" s="1">
        <v>9</v>
      </c>
      <c r="AA228" s="18">
        <v>400</v>
      </c>
    </row>
    <row r="229" spans="24:27" x14ac:dyDescent="0.25">
      <c r="X229" s="1">
        <v>2</v>
      </c>
      <c r="Y229" s="1">
        <v>5</v>
      </c>
      <c r="Z229" s="1">
        <v>9</v>
      </c>
      <c r="AA229" s="18">
        <v>400</v>
      </c>
    </row>
    <row r="230" spans="24:27" x14ac:dyDescent="0.25">
      <c r="X230" s="1">
        <v>3</v>
      </c>
      <c r="Y230" s="1">
        <v>5</v>
      </c>
      <c r="Z230" s="1">
        <v>9</v>
      </c>
      <c r="AA230" s="18">
        <v>450</v>
      </c>
    </row>
    <row r="231" spans="24:27" x14ac:dyDescent="0.25">
      <c r="X231" s="1">
        <v>4</v>
      </c>
      <c r="Y231" s="1">
        <v>5</v>
      </c>
      <c r="Z231" s="1">
        <v>9</v>
      </c>
      <c r="AA231" s="18">
        <v>250</v>
      </c>
    </row>
    <row r="232" spans="24:27" x14ac:dyDescent="0.25">
      <c r="X232" s="1">
        <v>1</v>
      </c>
      <c r="Y232" s="1">
        <v>5</v>
      </c>
      <c r="Z232" s="1">
        <v>10</v>
      </c>
      <c r="AA232" s="18">
        <v>980</v>
      </c>
    </row>
    <row r="233" spans="24:27" x14ac:dyDescent="0.25">
      <c r="X233" s="1">
        <v>2</v>
      </c>
      <c r="Y233" s="1">
        <v>5</v>
      </c>
      <c r="Z233" s="1">
        <v>10</v>
      </c>
      <c r="AA233" s="18">
        <v>540</v>
      </c>
    </row>
    <row r="234" spans="24:27" x14ac:dyDescent="0.25">
      <c r="X234" s="1">
        <v>3</v>
      </c>
      <c r="Y234" s="1">
        <v>5</v>
      </c>
      <c r="Z234" s="1">
        <v>10</v>
      </c>
      <c r="AA234" s="18">
        <v>750</v>
      </c>
    </row>
    <row r="235" spans="24:27" x14ac:dyDescent="0.25">
      <c r="X235" s="1">
        <v>4</v>
      </c>
      <c r="Y235" s="1">
        <v>5</v>
      </c>
      <c r="Z235" s="1">
        <v>10</v>
      </c>
      <c r="AA235" s="18">
        <v>310</v>
      </c>
    </row>
    <row r="236" spans="24:27" x14ac:dyDescent="0.25">
      <c r="X236" s="1">
        <v>1</v>
      </c>
      <c r="Y236" s="1">
        <v>5</v>
      </c>
      <c r="Z236" s="1">
        <v>11</v>
      </c>
      <c r="AA236" s="18">
        <v>740</v>
      </c>
    </row>
    <row r="237" spans="24:27" x14ac:dyDescent="0.25">
      <c r="X237" s="1">
        <v>2</v>
      </c>
      <c r="Y237" s="1">
        <v>5</v>
      </c>
      <c r="Z237" s="1">
        <v>11</v>
      </c>
      <c r="AA237" s="18">
        <v>340</v>
      </c>
    </row>
    <row r="238" spans="24:27" x14ac:dyDescent="0.25">
      <c r="X238" s="1">
        <v>3</v>
      </c>
      <c r="Y238" s="1">
        <v>5</v>
      </c>
      <c r="Z238" s="1">
        <v>11</v>
      </c>
      <c r="AA238" s="18">
        <v>705</v>
      </c>
    </row>
    <row r="239" spans="24:27" x14ac:dyDescent="0.25">
      <c r="X239" s="1">
        <v>4</v>
      </c>
      <c r="Y239" s="1">
        <v>5</v>
      </c>
      <c r="Z239" s="1">
        <v>11</v>
      </c>
      <c r="AA239" s="18">
        <v>300</v>
      </c>
    </row>
    <row r="240" spans="24:27" x14ac:dyDescent="0.25">
      <c r="X240" s="1">
        <v>1</v>
      </c>
      <c r="Y240" s="1">
        <v>5</v>
      </c>
      <c r="Z240" s="1">
        <v>12</v>
      </c>
      <c r="AA240" s="18">
        <v>600</v>
      </c>
    </row>
    <row r="241" spans="24:27" x14ac:dyDescent="0.25">
      <c r="X241" s="1">
        <v>2</v>
      </c>
      <c r="Y241" s="1">
        <v>5</v>
      </c>
      <c r="Z241" s="1">
        <v>12</v>
      </c>
      <c r="AA241" s="18">
        <v>440</v>
      </c>
    </row>
    <row r="242" spans="24:27" x14ac:dyDescent="0.25">
      <c r="X242" s="1">
        <v>3</v>
      </c>
      <c r="Y242" s="1">
        <v>5</v>
      </c>
      <c r="Z242" s="1">
        <v>12</v>
      </c>
      <c r="AA242" s="18">
        <v>750</v>
      </c>
    </row>
    <row r="243" spans="24:27" x14ac:dyDescent="0.25">
      <c r="X243" s="1">
        <v>4</v>
      </c>
      <c r="Y243" s="1">
        <v>5</v>
      </c>
      <c r="Z243" s="1">
        <v>12</v>
      </c>
      <c r="AA243" s="18">
        <v>100</v>
      </c>
    </row>
    <row r="244" spans="24:27" x14ac:dyDescent="0.25">
      <c r="X244" s="1">
        <v>1</v>
      </c>
      <c r="Y244" s="1">
        <v>6</v>
      </c>
      <c r="Z244" s="1">
        <v>1</v>
      </c>
      <c r="AA244" s="18">
        <v>700</v>
      </c>
    </row>
    <row r="245" spans="24:27" x14ac:dyDescent="0.25">
      <c r="X245" s="1">
        <v>2</v>
      </c>
      <c r="Y245" s="1">
        <v>6</v>
      </c>
      <c r="Z245" s="1">
        <v>1</v>
      </c>
      <c r="AA245" s="18">
        <v>400</v>
      </c>
    </row>
    <row r="246" spans="24:27" x14ac:dyDescent="0.25">
      <c r="X246" s="1">
        <v>3</v>
      </c>
      <c r="Y246" s="1">
        <v>6</v>
      </c>
      <c r="Z246" s="1">
        <v>1</v>
      </c>
      <c r="AA246" s="18">
        <v>100</v>
      </c>
    </row>
    <row r="247" spans="24:27" x14ac:dyDescent="0.25">
      <c r="X247" s="1">
        <v>4</v>
      </c>
      <c r="Y247" s="1">
        <v>6</v>
      </c>
      <c r="Z247" s="1">
        <v>1</v>
      </c>
      <c r="AA247" s="18">
        <v>600</v>
      </c>
    </row>
    <row r="248" spans="24:27" x14ac:dyDescent="0.25">
      <c r="X248" s="1">
        <v>1</v>
      </c>
      <c r="Y248" s="1">
        <v>6</v>
      </c>
      <c r="Z248" s="1">
        <v>2</v>
      </c>
      <c r="AA248" s="18">
        <v>400</v>
      </c>
    </row>
    <row r="249" spans="24:27" x14ac:dyDescent="0.25">
      <c r="X249" s="1">
        <v>2</v>
      </c>
      <c r="Y249" s="1">
        <v>6</v>
      </c>
      <c r="Z249" s="1">
        <v>2</v>
      </c>
      <c r="AA249" s="18">
        <v>600</v>
      </c>
    </row>
    <row r="250" spans="24:27" x14ac:dyDescent="0.25">
      <c r="X250" s="1">
        <v>3</v>
      </c>
      <c r="Y250" s="1">
        <v>6</v>
      </c>
      <c r="Z250" s="1">
        <v>2</v>
      </c>
      <c r="AA250" s="18">
        <v>300</v>
      </c>
    </row>
    <row r="251" spans="24:27" x14ac:dyDescent="0.25">
      <c r="X251" s="1">
        <v>4</v>
      </c>
      <c r="Y251" s="1">
        <v>6</v>
      </c>
      <c r="Z251" s="1">
        <v>2</v>
      </c>
      <c r="AA251" s="18">
        <v>420</v>
      </c>
    </row>
    <row r="252" spans="24:27" x14ac:dyDescent="0.25">
      <c r="X252" s="1">
        <v>1</v>
      </c>
      <c r="Y252" s="1">
        <v>6</v>
      </c>
      <c r="Z252" s="1">
        <v>3</v>
      </c>
      <c r="AA252" s="18">
        <v>300</v>
      </c>
    </row>
    <row r="253" spans="24:27" x14ac:dyDescent="0.25">
      <c r="X253" s="1">
        <v>2</v>
      </c>
      <c r="Y253" s="1">
        <v>6</v>
      </c>
      <c r="Z253" s="1">
        <v>3</v>
      </c>
      <c r="AA253" s="18">
        <v>800</v>
      </c>
    </row>
    <row r="254" spans="24:27" x14ac:dyDescent="0.25">
      <c r="X254" s="1">
        <v>3</v>
      </c>
      <c r="Y254" s="1">
        <v>6</v>
      </c>
      <c r="Z254" s="1">
        <v>3</v>
      </c>
      <c r="AA254" s="18">
        <v>600</v>
      </c>
    </row>
    <row r="255" spans="24:27" x14ac:dyDescent="0.25">
      <c r="X255" s="1">
        <v>4</v>
      </c>
      <c r="Y255" s="1">
        <v>6</v>
      </c>
      <c r="Z255" s="1">
        <v>3</v>
      </c>
      <c r="AA255" s="18">
        <v>600</v>
      </c>
    </row>
    <row r="256" spans="24:27" x14ac:dyDescent="0.25">
      <c r="X256" s="1">
        <v>1</v>
      </c>
      <c r="Y256" s="1">
        <v>6</v>
      </c>
      <c r="Z256" s="1">
        <v>4</v>
      </c>
      <c r="AA256" s="18">
        <v>250</v>
      </c>
    </row>
    <row r="257" spans="24:27" x14ac:dyDescent="0.25">
      <c r="X257" s="1">
        <v>2</v>
      </c>
      <c r="Y257" s="1">
        <v>6</v>
      </c>
      <c r="Z257" s="1">
        <v>4</v>
      </c>
      <c r="AA257" s="18">
        <v>600</v>
      </c>
    </row>
    <row r="258" spans="24:27" x14ac:dyDescent="0.25">
      <c r="X258" s="1">
        <v>3</v>
      </c>
      <c r="Y258" s="1">
        <v>6</v>
      </c>
      <c r="Z258" s="1">
        <v>4</v>
      </c>
      <c r="AA258" s="18">
        <v>500</v>
      </c>
    </row>
    <row r="259" spans="24:27" x14ac:dyDescent="0.25">
      <c r="X259" s="1">
        <v>4</v>
      </c>
      <c r="Y259" s="1">
        <v>6</v>
      </c>
      <c r="Z259" s="1">
        <v>4</v>
      </c>
      <c r="AA259" s="18">
        <v>740</v>
      </c>
    </row>
    <row r="260" spans="24:27" x14ac:dyDescent="0.25">
      <c r="X260" s="1">
        <v>1</v>
      </c>
      <c r="Y260" s="1">
        <v>6</v>
      </c>
      <c r="Z260" s="1">
        <v>5</v>
      </c>
      <c r="AA260" s="18">
        <v>300</v>
      </c>
    </row>
    <row r="261" spans="24:27" x14ac:dyDescent="0.25">
      <c r="X261" s="1">
        <v>2</v>
      </c>
      <c r="Y261" s="1">
        <v>6</v>
      </c>
      <c r="Z261" s="1">
        <v>5</v>
      </c>
      <c r="AA261" s="18">
        <v>400</v>
      </c>
    </row>
    <row r="262" spans="24:27" x14ac:dyDescent="0.25">
      <c r="X262" s="1">
        <v>3</v>
      </c>
      <c r="Y262" s="1">
        <v>6</v>
      </c>
      <c r="Z262" s="1">
        <v>5</v>
      </c>
      <c r="AA262" s="18">
        <v>200</v>
      </c>
    </row>
    <row r="263" spans="24:27" x14ac:dyDescent="0.25">
      <c r="X263" s="1">
        <v>4</v>
      </c>
      <c r="Y263" s="1">
        <v>6</v>
      </c>
      <c r="Z263" s="1">
        <v>5</v>
      </c>
      <c r="AA263" s="18">
        <v>1400</v>
      </c>
    </row>
    <row r="264" spans="24:27" x14ac:dyDescent="0.25">
      <c r="X264" s="1">
        <v>1</v>
      </c>
      <c r="Y264" s="1">
        <v>6</v>
      </c>
      <c r="Z264" s="1">
        <v>6</v>
      </c>
      <c r="AA264" s="18">
        <v>400</v>
      </c>
    </row>
    <row r="265" spans="24:27" x14ac:dyDescent="0.25">
      <c r="X265" s="1">
        <v>2</v>
      </c>
      <c r="Y265" s="1">
        <v>6</v>
      </c>
      <c r="Z265" s="1">
        <v>6</v>
      </c>
      <c r="AA265" s="18">
        <v>1400</v>
      </c>
    </row>
    <row r="266" spans="24:27" x14ac:dyDescent="0.25">
      <c r="X266" s="1">
        <v>3</v>
      </c>
      <c r="Y266" s="1">
        <v>6</v>
      </c>
      <c r="Z266" s="1">
        <v>6</v>
      </c>
      <c r="AA266" s="18">
        <v>340</v>
      </c>
    </row>
    <row r="267" spans="24:27" x14ac:dyDescent="0.25">
      <c r="X267" s="1">
        <v>4</v>
      </c>
      <c r="Y267" s="1">
        <v>6</v>
      </c>
      <c r="Z267" s="1">
        <v>6</v>
      </c>
      <c r="AA267" s="18">
        <v>600</v>
      </c>
    </row>
    <row r="268" spans="24:27" x14ac:dyDescent="0.25">
      <c r="X268" s="1">
        <v>1</v>
      </c>
      <c r="Y268" s="1">
        <v>6</v>
      </c>
      <c r="Z268" s="1">
        <v>7</v>
      </c>
      <c r="AA268" s="18">
        <v>300</v>
      </c>
    </row>
    <row r="269" spans="24:27" x14ac:dyDescent="0.25">
      <c r="X269" s="1">
        <v>2</v>
      </c>
      <c r="Y269" s="1">
        <v>6</v>
      </c>
      <c r="Z269" s="1">
        <v>7</v>
      </c>
      <c r="AA269" s="18">
        <v>600</v>
      </c>
    </row>
    <row r="270" spans="24:27" x14ac:dyDescent="0.25">
      <c r="X270" s="1">
        <v>3</v>
      </c>
      <c r="Y270" s="1">
        <v>6</v>
      </c>
      <c r="Z270" s="1">
        <v>7</v>
      </c>
      <c r="AA270" s="18">
        <v>600</v>
      </c>
    </row>
    <row r="271" spans="24:27" x14ac:dyDescent="0.25">
      <c r="X271" s="1">
        <v>4</v>
      </c>
      <c r="Y271" s="1">
        <v>6</v>
      </c>
      <c r="Z271" s="1">
        <v>7</v>
      </c>
      <c r="AA271" s="18">
        <v>260</v>
      </c>
    </row>
    <row r="272" spans="24:27" x14ac:dyDescent="0.25">
      <c r="X272" s="1">
        <v>1</v>
      </c>
      <c r="Y272" s="1">
        <v>6</v>
      </c>
      <c r="Z272" s="1">
        <v>8</v>
      </c>
      <c r="AA272" s="18">
        <v>1000</v>
      </c>
    </row>
    <row r="273" spans="24:27" x14ac:dyDescent="0.25">
      <c r="X273" s="1">
        <v>2</v>
      </c>
      <c r="Y273" s="1">
        <v>6</v>
      </c>
      <c r="Z273" s="1">
        <v>8</v>
      </c>
      <c r="AA273" s="18">
        <v>600</v>
      </c>
    </row>
    <row r="274" spans="24:27" x14ac:dyDescent="0.25">
      <c r="X274" s="1">
        <v>3</v>
      </c>
      <c r="Y274" s="1">
        <v>6</v>
      </c>
      <c r="Z274" s="1">
        <v>8</v>
      </c>
      <c r="AA274" s="18">
        <v>300</v>
      </c>
    </row>
    <row r="275" spans="24:27" x14ac:dyDescent="0.25">
      <c r="X275" s="1">
        <v>4</v>
      </c>
      <c r="Y275" s="1">
        <v>6</v>
      </c>
      <c r="Z275" s="1">
        <v>8</v>
      </c>
      <c r="AA275" s="18">
        <v>800</v>
      </c>
    </row>
    <row r="276" spans="24:27" x14ac:dyDescent="0.25">
      <c r="X276" s="1">
        <v>1</v>
      </c>
      <c r="Y276" s="1">
        <v>6</v>
      </c>
      <c r="Z276" s="1">
        <v>9</v>
      </c>
      <c r="AA276" s="18">
        <v>200</v>
      </c>
    </row>
    <row r="277" spans="24:27" x14ac:dyDescent="0.25">
      <c r="X277" s="1">
        <v>2</v>
      </c>
      <c r="Y277" s="1">
        <v>6</v>
      </c>
      <c r="Z277" s="1">
        <v>9</v>
      </c>
      <c r="AA277" s="18">
        <v>400</v>
      </c>
    </row>
    <row r="278" spans="24:27" x14ac:dyDescent="0.25">
      <c r="X278" s="1">
        <v>3</v>
      </c>
      <c r="Y278" s="1">
        <v>6</v>
      </c>
      <c r="Z278" s="1">
        <v>9</v>
      </c>
      <c r="AA278" s="18">
        <v>300</v>
      </c>
    </row>
    <row r="279" spans="24:27" x14ac:dyDescent="0.25">
      <c r="X279" s="1">
        <v>4</v>
      </c>
      <c r="Y279" s="1">
        <v>6</v>
      </c>
      <c r="Z279" s="1">
        <v>9</v>
      </c>
      <c r="AA279" s="18">
        <v>500</v>
      </c>
    </row>
    <row r="280" spans="24:27" x14ac:dyDescent="0.25">
      <c r="X280" s="1">
        <v>1</v>
      </c>
      <c r="Y280" s="1">
        <v>6</v>
      </c>
      <c r="Z280" s="1">
        <v>10</v>
      </c>
      <c r="AA280" s="18">
        <v>490</v>
      </c>
    </row>
    <row r="281" spans="24:27" x14ac:dyDescent="0.25">
      <c r="X281" s="1">
        <v>2</v>
      </c>
      <c r="Y281" s="1">
        <v>6</v>
      </c>
      <c r="Z281" s="1">
        <v>10</v>
      </c>
      <c r="AA281" s="18">
        <v>540</v>
      </c>
    </row>
    <row r="282" spans="24:27" x14ac:dyDescent="0.25">
      <c r="X282" s="1">
        <v>3</v>
      </c>
      <c r="Y282" s="1">
        <v>6</v>
      </c>
      <c r="Z282" s="1">
        <v>10</v>
      </c>
      <c r="AA282" s="18">
        <v>500</v>
      </c>
    </row>
    <row r="283" spans="24:27" x14ac:dyDescent="0.25">
      <c r="X283" s="1">
        <v>4</v>
      </c>
      <c r="Y283" s="1">
        <v>6</v>
      </c>
      <c r="Z283" s="1">
        <v>10</v>
      </c>
      <c r="AA283" s="18">
        <v>620</v>
      </c>
    </row>
    <row r="284" spans="24:27" x14ac:dyDescent="0.25">
      <c r="X284" s="1">
        <v>1</v>
      </c>
      <c r="Y284" s="1">
        <v>6</v>
      </c>
      <c r="Z284" s="1">
        <v>11</v>
      </c>
      <c r="AA284" s="18">
        <v>370</v>
      </c>
    </row>
    <row r="285" spans="24:27" x14ac:dyDescent="0.25">
      <c r="X285" s="1">
        <v>2</v>
      </c>
      <c r="Y285" s="1">
        <v>6</v>
      </c>
      <c r="Z285" s="1">
        <v>11</v>
      </c>
      <c r="AA285" s="18">
        <v>340</v>
      </c>
    </row>
    <row r="286" spans="24:27" x14ac:dyDescent="0.25">
      <c r="X286" s="1">
        <v>3</v>
      </c>
      <c r="Y286" s="1">
        <v>6</v>
      </c>
      <c r="Z286" s="1">
        <v>11</v>
      </c>
      <c r="AA286" s="18">
        <v>470</v>
      </c>
    </row>
    <row r="287" spans="24:27" x14ac:dyDescent="0.25">
      <c r="X287" s="1">
        <v>4</v>
      </c>
      <c r="Y287" s="1">
        <v>6</v>
      </c>
      <c r="Z287" s="1">
        <v>11</v>
      </c>
      <c r="AA287" s="18">
        <v>600</v>
      </c>
    </row>
    <row r="288" spans="24:27" x14ac:dyDescent="0.25">
      <c r="X288" s="1">
        <v>1</v>
      </c>
      <c r="Y288" s="1">
        <v>6</v>
      </c>
      <c r="Z288" s="1">
        <v>12</v>
      </c>
      <c r="AA288" s="18">
        <v>300</v>
      </c>
    </row>
    <row r="289" spans="24:27" x14ac:dyDescent="0.25">
      <c r="X289" s="1">
        <v>2</v>
      </c>
      <c r="Y289" s="1">
        <v>6</v>
      </c>
      <c r="Z289" s="1">
        <v>12</v>
      </c>
      <c r="AA289" s="18">
        <v>440</v>
      </c>
    </row>
    <row r="290" spans="24:27" x14ac:dyDescent="0.25">
      <c r="X290" s="1">
        <v>3</v>
      </c>
      <c r="Y290" s="1">
        <v>6</v>
      </c>
      <c r="Z290" s="1">
        <v>12</v>
      </c>
      <c r="AA290" s="18">
        <v>500</v>
      </c>
    </row>
    <row r="291" spans="24:27" x14ac:dyDescent="0.25">
      <c r="X291" s="1">
        <v>4</v>
      </c>
      <c r="Y291" s="1">
        <v>6</v>
      </c>
      <c r="Z291" s="1">
        <v>12</v>
      </c>
      <c r="AA291" s="18">
        <v>200</v>
      </c>
    </row>
    <row r="292" spans="24:27" x14ac:dyDescent="0.25">
      <c r="X292" s="1">
        <v>1</v>
      </c>
      <c r="Y292" s="1">
        <v>7</v>
      </c>
      <c r="Z292" s="1">
        <v>1</v>
      </c>
      <c r="AA292" s="18">
        <v>700</v>
      </c>
    </row>
    <row r="293" spans="24:27" x14ac:dyDescent="0.25">
      <c r="X293" s="1">
        <v>2</v>
      </c>
      <c r="Y293" s="1">
        <v>7</v>
      </c>
      <c r="Z293" s="1">
        <v>1</v>
      </c>
      <c r="AA293" s="18">
        <v>0</v>
      </c>
    </row>
    <row r="294" spans="24:27" x14ac:dyDescent="0.25">
      <c r="X294" s="1">
        <v>3</v>
      </c>
      <c r="Y294" s="1">
        <v>7</v>
      </c>
      <c r="Z294" s="1">
        <v>1</v>
      </c>
      <c r="AA294" s="18">
        <v>150</v>
      </c>
    </row>
    <row r="295" spans="24:27" x14ac:dyDescent="0.25">
      <c r="X295" s="1">
        <v>4</v>
      </c>
      <c r="Y295" s="1">
        <v>7</v>
      </c>
      <c r="Z295" s="1">
        <v>1</v>
      </c>
      <c r="AA295" s="18">
        <v>300</v>
      </c>
    </row>
    <row r="296" spans="24:27" x14ac:dyDescent="0.25">
      <c r="X296" s="1">
        <v>1</v>
      </c>
      <c r="Y296" s="1">
        <v>7</v>
      </c>
      <c r="Z296" s="1">
        <v>2</v>
      </c>
      <c r="AA296" s="18">
        <v>400</v>
      </c>
    </row>
    <row r="297" spans="24:27" x14ac:dyDescent="0.25">
      <c r="X297" s="1">
        <v>2</v>
      </c>
      <c r="Y297" s="1">
        <v>7</v>
      </c>
      <c r="Z297" s="1">
        <v>2</v>
      </c>
      <c r="AA297" s="18">
        <v>0</v>
      </c>
    </row>
    <row r="298" spans="24:27" x14ac:dyDescent="0.25">
      <c r="X298" s="1">
        <v>3</v>
      </c>
      <c r="Y298" s="1">
        <v>7</v>
      </c>
      <c r="Z298" s="1">
        <v>2</v>
      </c>
      <c r="AA298" s="18">
        <v>450</v>
      </c>
    </row>
    <row r="299" spans="24:27" x14ac:dyDescent="0.25">
      <c r="X299" s="1">
        <v>4</v>
      </c>
      <c r="Y299" s="1">
        <v>7</v>
      </c>
      <c r="Z299" s="1">
        <v>2</v>
      </c>
      <c r="AA299" s="18">
        <v>210</v>
      </c>
    </row>
    <row r="300" spans="24:27" x14ac:dyDescent="0.25">
      <c r="X300" s="1">
        <v>1</v>
      </c>
      <c r="Y300" s="1">
        <v>7</v>
      </c>
      <c r="Z300" s="1">
        <v>3</v>
      </c>
      <c r="AA300" s="18">
        <v>300</v>
      </c>
    </row>
    <row r="301" spans="24:27" x14ac:dyDescent="0.25">
      <c r="X301" s="1">
        <v>2</v>
      </c>
      <c r="Y301" s="1">
        <v>7</v>
      </c>
      <c r="Z301" s="1">
        <v>3</v>
      </c>
      <c r="AA301" s="18">
        <v>0</v>
      </c>
    </row>
    <row r="302" spans="24:27" x14ac:dyDescent="0.25">
      <c r="X302" s="1">
        <v>3</v>
      </c>
      <c r="Y302" s="1">
        <v>7</v>
      </c>
      <c r="Z302" s="1">
        <v>3</v>
      </c>
      <c r="AA302" s="18">
        <v>900</v>
      </c>
    </row>
    <row r="303" spans="24:27" x14ac:dyDescent="0.25">
      <c r="X303" s="1">
        <v>4</v>
      </c>
      <c r="Y303" s="1">
        <v>7</v>
      </c>
      <c r="Z303" s="1">
        <v>3</v>
      </c>
      <c r="AA303" s="18">
        <v>300</v>
      </c>
    </row>
    <row r="304" spans="24:27" x14ac:dyDescent="0.25">
      <c r="X304" s="1">
        <v>1</v>
      </c>
      <c r="Y304" s="1">
        <v>7</v>
      </c>
      <c r="Z304" s="1">
        <v>4</v>
      </c>
      <c r="AA304" s="18">
        <v>250</v>
      </c>
    </row>
    <row r="305" spans="24:27" x14ac:dyDescent="0.25">
      <c r="X305" s="1">
        <v>2</v>
      </c>
      <c r="Y305" s="1">
        <v>7</v>
      </c>
      <c r="Z305" s="1">
        <v>4</v>
      </c>
      <c r="AA305" s="18">
        <v>0</v>
      </c>
    </row>
    <row r="306" spans="24:27" x14ac:dyDescent="0.25">
      <c r="X306" s="1">
        <v>3</v>
      </c>
      <c r="Y306" s="1">
        <v>7</v>
      </c>
      <c r="Z306" s="1">
        <v>4</v>
      </c>
      <c r="AA306" s="18">
        <v>750</v>
      </c>
    </row>
    <row r="307" spans="24:27" x14ac:dyDescent="0.25">
      <c r="X307" s="1">
        <v>4</v>
      </c>
      <c r="Y307" s="1">
        <v>7</v>
      </c>
      <c r="Z307" s="1">
        <v>4</v>
      </c>
      <c r="AA307" s="18">
        <v>370</v>
      </c>
    </row>
    <row r="308" spans="24:27" x14ac:dyDescent="0.25">
      <c r="X308" s="1">
        <v>1</v>
      </c>
      <c r="Y308" s="1">
        <v>7</v>
      </c>
      <c r="Z308" s="1">
        <v>5</v>
      </c>
      <c r="AA308" s="18">
        <v>300</v>
      </c>
    </row>
    <row r="309" spans="24:27" x14ac:dyDescent="0.25">
      <c r="X309" s="1">
        <v>2</v>
      </c>
      <c r="Y309" s="1">
        <v>7</v>
      </c>
      <c r="Z309" s="1">
        <v>5</v>
      </c>
      <c r="AA309" s="18">
        <v>0</v>
      </c>
    </row>
    <row r="310" spans="24:27" x14ac:dyDescent="0.25">
      <c r="X310" s="1">
        <v>3</v>
      </c>
      <c r="Y310" s="1">
        <v>7</v>
      </c>
      <c r="Z310" s="1">
        <v>5</v>
      </c>
      <c r="AA310" s="18">
        <v>300</v>
      </c>
    </row>
    <row r="311" spans="24:27" x14ac:dyDescent="0.25">
      <c r="X311" s="1">
        <v>4</v>
      </c>
      <c r="Y311" s="1">
        <v>7</v>
      </c>
      <c r="Z311" s="1">
        <v>5</v>
      </c>
      <c r="AA311" s="18">
        <v>700</v>
      </c>
    </row>
    <row r="312" spans="24:27" x14ac:dyDescent="0.25">
      <c r="X312" s="1">
        <v>1</v>
      </c>
      <c r="Y312" s="1">
        <v>7</v>
      </c>
      <c r="Z312" s="1">
        <v>6</v>
      </c>
      <c r="AA312" s="18">
        <v>400</v>
      </c>
    </row>
    <row r="313" spans="24:27" x14ac:dyDescent="0.25">
      <c r="X313" s="1">
        <v>2</v>
      </c>
      <c r="Y313" s="1">
        <v>7</v>
      </c>
      <c r="Z313" s="1">
        <v>6</v>
      </c>
      <c r="AA313" s="18">
        <v>0</v>
      </c>
    </row>
    <row r="314" spans="24:27" x14ac:dyDescent="0.25">
      <c r="X314" s="1">
        <v>3</v>
      </c>
      <c r="Y314" s="1">
        <v>7</v>
      </c>
      <c r="Z314" s="1">
        <v>6</v>
      </c>
      <c r="AA314" s="18">
        <v>510</v>
      </c>
    </row>
    <row r="315" spans="24:27" x14ac:dyDescent="0.25">
      <c r="X315" s="1">
        <v>4</v>
      </c>
      <c r="Y315" s="1">
        <v>7</v>
      </c>
      <c r="Z315" s="1">
        <v>6</v>
      </c>
      <c r="AA315" s="18">
        <v>300</v>
      </c>
    </row>
    <row r="316" spans="24:27" x14ac:dyDescent="0.25">
      <c r="X316" s="1">
        <v>1</v>
      </c>
      <c r="Y316" s="1">
        <v>7</v>
      </c>
      <c r="Z316" s="1">
        <v>7</v>
      </c>
      <c r="AA316" s="18">
        <v>300</v>
      </c>
    </row>
    <row r="317" spans="24:27" x14ac:dyDescent="0.25">
      <c r="X317" s="1">
        <v>2</v>
      </c>
      <c r="Y317" s="1">
        <v>7</v>
      </c>
      <c r="Z317" s="1">
        <v>7</v>
      </c>
      <c r="AA317" s="18">
        <v>0</v>
      </c>
    </row>
    <row r="318" spans="24:27" x14ac:dyDescent="0.25">
      <c r="X318" s="1">
        <v>3</v>
      </c>
      <c r="Y318" s="1">
        <v>7</v>
      </c>
      <c r="Z318" s="1">
        <v>7</v>
      </c>
      <c r="AA318" s="18">
        <v>900</v>
      </c>
    </row>
    <row r="319" spans="24:27" x14ac:dyDescent="0.25">
      <c r="X319" s="1">
        <v>4</v>
      </c>
      <c r="Y319" s="1">
        <v>7</v>
      </c>
      <c r="Z319" s="1">
        <v>7</v>
      </c>
      <c r="AA319" s="18">
        <v>130</v>
      </c>
    </row>
    <row r="320" spans="24:27" x14ac:dyDescent="0.25">
      <c r="X320" s="1">
        <v>1</v>
      </c>
      <c r="Y320" s="1">
        <v>7</v>
      </c>
      <c r="Z320" s="1">
        <v>8</v>
      </c>
      <c r="AA320" s="18">
        <v>1000</v>
      </c>
    </row>
    <row r="321" spans="24:27" x14ac:dyDescent="0.25">
      <c r="X321" s="1">
        <v>2</v>
      </c>
      <c r="Y321" s="1">
        <v>7</v>
      </c>
      <c r="Z321" s="1">
        <v>8</v>
      </c>
      <c r="AA321" s="18">
        <v>0</v>
      </c>
    </row>
    <row r="322" spans="24:27" x14ac:dyDescent="0.25">
      <c r="X322" s="1">
        <v>3</v>
      </c>
      <c r="Y322" s="1">
        <v>7</v>
      </c>
      <c r="Z322" s="1">
        <v>8</v>
      </c>
      <c r="AA322" s="18">
        <v>450</v>
      </c>
    </row>
    <row r="323" spans="24:27" x14ac:dyDescent="0.25">
      <c r="X323" s="1">
        <v>4</v>
      </c>
      <c r="Y323" s="1">
        <v>7</v>
      </c>
      <c r="Z323" s="1">
        <v>8</v>
      </c>
      <c r="AA323" s="18">
        <v>400</v>
      </c>
    </row>
    <row r="324" spans="24:27" x14ac:dyDescent="0.25">
      <c r="X324" s="1">
        <v>1</v>
      </c>
      <c r="Y324" s="1">
        <v>7</v>
      </c>
      <c r="Z324" s="1">
        <v>9</v>
      </c>
      <c r="AA324" s="18">
        <v>200</v>
      </c>
    </row>
    <row r="325" spans="24:27" x14ac:dyDescent="0.25">
      <c r="X325" s="1">
        <v>2</v>
      </c>
      <c r="Y325" s="1">
        <v>7</v>
      </c>
      <c r="Z325" s="1">
        <v>9</v>
      </c>
      <c r="AA325" s="18">
        <v>0</v>
      </c>
    </row>
    <row r="326" spans="24:27" x14ac:dyDescent="0.25">
      <c r="X326" s="1">
        <v>3</v>
      </c>
      <c r="Y326" s="1">
        <v>7</v>
      </c>
      <c r="Z326" s="1">
        <v>9</v>
      </c>
      <c r="AA326" s="18">
        <v>450</v>
      </c>
    </row>
    <row r="327" spans="24:27" x14ac:dyDescent="0.25">
      <c r="X327" s="1">
        <v>4</v>
      </c>
      <c r="Y327" s="1">
        <v>7</v>
      </c>
      <c r="Z327" s="1">
        <v>9</v>
      </c>
      <c r="AA327" s="18">
        <v>250</v>
      </c>
    </row>
    <row r="328" spans="24:27" x14ac:dyDescent="0.25">
      <c r="X328" s="1">
        <v>1</v>
      </c>
      <c r="Y328" s="1">
        <v>7</v>
      </c>
      <c r="Z328" s="1">
        <v>10</v>
      </c>
      <c r="AA328" s="18">
        <v>490</v>
      </c>
    </row>
    <row r="329" spans="24:27" x14ac:dyDescent="0.25">
      <c r="X329" s="1">
        <v>2</v>
      </c>
      <c r="Y329" s="1">
        <v>7</v>
      </c>
      <c r="Z329" s="1">
        <v>10</v>
      </c>
      <c r="AA329" s="18">
        <v>0</v>
      </c>
    </row>
    <row r="330" spans="24:27" x14ac:dyDescent="0.25">
      <c r="X330" s="1">
        <v>3</v>
      </c>
      <c r="Y330" s="1">
        <v>7</v>
      </c>
      <c r="Z330" s="1">
        <v>10</v>
      </c>
      <c r="AA330" s="18">
        <v>750</v>
      </c>
    </row>
    <row r="331" spans="24:27" x14ac:dyDescent="0.25">
      <c r="X331" s="1">
        <v>4</v>
      </c>
      <c r="Y331" s="1">
        <v>7</v>
      </c>
      <c r="Z331" s="1">
        <v>10</v>
      </c>
      <c r="AA331" s="18">
        <v>310</v>
      </c>
    </row>
    <row r="332" spans="24:27" x14ac:dyDescent="0.25">
      <c r="X332" s="1">
        <v>1</v>
      </c>
      <c r="Y332" s="1">
        <v>7</v>
      </c>
      <c r="Z332" s="1">
        <v>11</v>
      </c>
      <c r="AA332" s="18">
        <v>370</v>
      </c>
    </row>
    <row r="333" spans="24:27" x14ac:dyDescent="0.25">
      <c r="X333" s="1">
        <v>2</v>
      </c>
      <c r="Y333" s="1">
        <v>7</v>
      </c>
      <c r="Z333" s="1">
        <v>11</v>
      </c>
      <c r="AA333" s="18">
        <v>0</v>
      </c>
    </row>
    <row r="334" spans="24:27" x14ac:dyDescent="0.25">
      <c r="X334" s="1">
        <v>3</v>
      </c>
      <c r="Y334" s="1">
        <v>7</v>
      </c>
      <c r="Z334" s="1">
        <v>11</v>
      </c>
      <c r="AA334" s="18">
        <v>705</v>
      </c>
    </row>
    <row r="335" spans="24:27" x14ac:dyDescent="0.25">
      <c r="X335" s="1">
        <v>4</v>
      </c>
      <c r="Y335" s="1">
        <v>7</v>
      </c>
      <c r="Z335" s="1">
        <v>11</v>
      </c>
      <c r="AA335" s="18">
        <v>300</v>
      </c>
    </row>
    <row r="336" spans="24:27" x14ac:dyDescent="0.25">
      <c r="X336" s="1">
        <v>1</v>
      </c>
      <c r="Y336" s="1">
        <v>7</v>
      </c>
      <c r="Z336" s="1">
        <v>12</v>
      </c>
      <c r="AA336" s="18">
        <v>300</v>
      </c>
    </row>
    <row r="337" spans="24:27" x14ac:dyDescent="0.25">
      <c r="X337" s="1">
        <v>2</v>
      </c>
      <c r="Y337" s="1">
        <v>7</v>
      </c>
      <c r="Z337" s="1">
        <v>12</v>
      </c>
      <c r="AA337" s="18">
        <v>0</v>
      </c>
    </row>
    <row r="338" spans="24:27" x14ac:dyDescent="0.25">
      <c r="X338" s="1">
        <v>3</v>
      </c>
      <c r="Y338" s="1">
        <v>7</v>
      </c>
      <c r="Z338" s="1">
        <v>12</v>
      </c>
      <c r="AA338" s="18">
        <v>750</v>
      </c>
    </row>
    <row r="339" spans="24:27" x14ac:dyDescent="0.25">
      <c r="X339" s="1">
        <v>4</v>
      </c>
      <c r="Y339" s="1">
        <v>7</v>
      </c>
      <c r="Z339" s="1">
        <v>12</v>
      </c>
      <c r="AA339" s="18">
        <v>100</v>
      </c>
    </row>
    <row r="340" spans="24:27" x14ac:dyDescent="0.25">
      <c r="X340" s="1">
        <v>1</v>
      </c>
      <c r="Y340" s="1">
        <v>8</v>
      </c>
      <c r="Z340" s="1">
        <v>1</v>
      </c>
      <c r="AA340" s="18">
        <v>700</v>
      </c>
    </row>
    <row r="341" spans="24:27" x14ac:dyDescent="0.25">
      <c r="X341" s="1">
        <v>2</v>
      </c>
      <c r="Y341" s="1">
        <v>8</v>
      </c>
      <c r="Z341" s="1">
        <v>1</v>
      </c>
      <c r="AA341" s="18">
        <v>200</v>
      </c>
    </row>
    <row r="342" spans="24:27" x14ac:dyDescent="0.25">
      <c r="X342" s="1">
        <v>3</v>
      </c>
      <c r="Y342" s="1">
        <v>8</v>
      </c>
      <c r="Z342" s="1">
        <v>1</v>
      </c>
      <c r="AA342" s="18">
        <v>0</v>
      </c>
    </row>
    <row r="343" spans="24:27" x14ac:dyDescent="0.25">
      <c r="X343" s="1">
        <v>4</v>
      </c>
      <c r="Y343" s="1">
        <v>8</v>
      </c>
      <c r="Z343" s="1">
        <v>1</v>
      </c>
      <c r="AA343" s="18">
        <v>300</v>
      </c>
    </row>
    <row r="344" spans="24:27" x14ac:dyDescent="0.25">
      <c r="X344" s="1">
        <v>1</v>
      </c>
      <c r="Y344" s="1">
        <v>8</v>
      </c>
      <c r="Z344" s="1">
        <v>2</v>
      </c>
      <c r="AA344" s="18">
        <v>400</v>
      </c>
    </row>
    <row r="345" spans="24:27" x14ac:dyDescent="0.25">
      <c r="X345" s="1">
        <v>2</v>
      </c>
      <c r="Y345" s="1">
        <v>8</v>
      </c>
      <c r="Z345" s="1">
        <v>2</v>
      </c>
      <c r="AA345" s="18">
        <v>300</v>
      </c>
    </row>
    <row r="346" spans="24:27" x14ac:dyDescent="0.25">
      <c r="X346" s="1">
        <v>3</v>
      </c>
      <c r="Y346" s="1">
        <v>8</v>
      </c>
      <c r="Z346" s="1">
        <v>2</v>
      </c>
      <c r="AA346" s="18">
        <v>0</v>
      </c>
    </row>
    <row r="347" spans="24:27" x14ac:dyDescent="0.25">
      <c r="X347" s="1">
        <v>4</v>
      </c>
      <c r="Y347" s="1">
        <v>8</v>
      </c>
      <c r="Z347" s="1">
        <v>2</v>
      </c>
      <c r="AA347" s="18">
        <v>210</v>
      </c>
    </row>
    <row r="348" spans="24:27" x14ac:dyDescent="0.25">
      <c r="X348" s="1">
        <v>1</v>
      </c>
      <c r="Y348" s="1">
        <v>8</v>
      </c>
      <c r="Z348" s="1">
        <v>3</v>
      </c>
      <c r="AA348" s="18">
        <v>300</v>
      </c>
    </row>
    <row r="349" spans="24:27" x14ac:dyDescent="0.25">
      <c r="X349" s="1">
        <v>2</v>
      </c>
      <c r="Y349" s="1">
        <v>8</v>
      </c>
      <c r="Z349" s="1">
        <v>3</v>
      </c>
      <c r="AA349" s="18">
        <v>400</v>
      </c>
    </row>
    <row r="350" spans="24:27" x14ac:dyDescent="0.25">
      <c r="X350" s="1">
        <v>3</v>
      </c>
      <c r="Y350" s="1">
        <v>8</v>
      </c>
      <c r="Z350" s="1">
        <v>3</v>
      </c>
      <c r="AA350" s="18">
        <v>0</v>
      </c>
    </row>
    <row r="351" spans="24:27" x14ac:dyDescent="0.25">
      <c r="X351" s="1">
        <v>4</v>
      </c>
      <c r="Y351" s="1">
        <v>8</v>
      </c>
      <c r="Z351" s="1">
        <v>3</v>
      </c>
      <c r="AA351" s="18">
        <v>300</v>
      </c>
    </row>
    <row r="352" spans="24:27" x14ac:dyDescent="0.25">
      <c r="X352" s="1">
        <v>1</v>
      </c>
      <c r="Y352" s="1">
        <v>8</v>
      </c>
      <c r="Z352" s="1">
        <v>4</v>
      </c>
      <c r="AA352" s="18">
        <v>250</v>
      </c>
    </row>
    <row r="353" spans="24:27" x14ac:dyDescent="0.25">
      <c r="X353" s="1">
        <v>2</v>
      </c>
      <c r="Y353" s="1">
        <v>8</v>
      </c>
      <c r="Z353" s="1">
        <v>4</v>
      </c>
      <c r="AA353" s="18">
        <v>300</v>
      </c>
    </row>
    <row r="354" spans="24:27" x14ac:dyDescent="0.25">
      <c r="X354" s="1">
        <v>3</v>
      </c>
      <c r="Y354" s="1">
        <v>8</v>
      </c>
      <c r="Z354" s="1">
        <v>4</v>
      </c>
      <c r="AA354" s="18">
        <v>0</v>
      </c>
    </row>
    <row r="355" spans="24:27" x14ac:dyDescent="0.25">
      <c r="X355" s="1">
        <v>4</v>
      </c>
      <c r="Y355" s="1">
        <v>8</v>
      </c>
      <c r="Z355" s="1">
        <v>4</v>
      </c>
      <c r="AA355" s="18">
        <v>370</v>
      </c>
    </row>
    <row r="356" spans="24:27" x14ac:dyDescent="0.25">
      <c r="X356" s="1">
        <v>1</v>
      </c>
      <c r="Y356" s="1">
        <v>8</v>
      </c>
      <c r="Z356" s="1">
        <v>5</v>
      </c>
      <c r="AA356" s="18">
        <v>300</v>
      </c>
    </row>
    <row r="357" spans="24:27" x14ac:dyDescent="0.25">
      <c r="X357" s="1">
        <v>2</v>
      </c>
      <c r="Y357" s="1">
        <v>8</v>
      </c>
      <c r="Z357" s="1">
        <v>5</v>
      </c>
      <c r="AA357" s="18">
        <v>200</v>
      </c>
    </row>
    <row r="358" spans="24:27" x14ac:dyDescent="0.25">
      <c r="X358" s="1">
        <v>3</v>
      </c>
      <c r="Y358" s="1">
        <v>8</v>
      </c>
      <c r="Z358" s="1">
        <v>5</v>
      </c>
      <c r="AA358" s="18">
        <v>0</v>
      </c>
    </row>
    <row r="359" spans="24:27" x14ac:dyDescent="0.25">
      <c r="X359" s="1">
        <v>4</v>
      </c>
      <c r="Y359" s="1">
        <v>8</v>
      </c>
      <c r="Z359" s="1">
        <v>5</v>
      </c>
      <c r="AA359" s="18">
        <v>700</v>
      </c>
    </row>
    <row r="360" spans="24:27" x14ac:dyDescent="0.25">
      <c r="X360" s="1">
        <v>1</v>
      </c>
      <c r="Y360" s="1">
        <v>8</v>
      </c>
      <c r="Z360" s="1">
        <v>6</v>
      </c>
      <c r="AA360" s="18">
        <v>400</v>
      </c>
    </row>
    <row r="361" spans="24:27" x14ac:dyDescent="0.25">
      <c r="X361" s="1">
        <v>2</v>
      </c>
      <c r="Y361" s="1">
        <v>8</v>
      </c>
      <c r="Z361" s="1">
        <v>6</v>
      </c>
      <c r="AA361" s="18">
        <v>700</v>
      </c>
    </row>
    <row r="362" spans="24:27" x14ac:dyDescent="0.25">
      <c r="X362" s="1">
        <v>3</v>
      </c>
      <c r="Y362" s="1">
        <v>8</v>
      </c>
      <c r="Z362" s="1">
        <v>6</v>
      </c>
      <c r="AA362" s="18">
        <v>0</v>
      </c>
    </row>
    <row r="363" spans="24:27" x14ac:dyDescent="0.25">
      <c r="X363" s="1">
        <v>4</v>
      </c>
      <c r="Y363" s="1">
        <v>8</v>
      </c>
      <c r="Z363" s="1">
        <v>6</v>
      </c>
      <c r="AA363" s="18">
        <v>300</v>
      </c>
    </row>
    <row r="364" spans="24:27" x14ac:dyDescent="0.25">
      <c r="X364" s="1">
        <v>1</v>
      </c>
      <c r="Y364" s="1">
        <v>8</v>
      </c>
      <c r="Z364" s="1">
        <v>7</v>
      </c>
      <c r="AA364" s="18">
        <v>300</v>
      </c>
    </row>
    <row r="365" spans="24:27" x14ac:dyDescent="0.25">
      <c r="X365" s="1">
        <v>2</v>
      </c>
      <c r="Y365" s="1">
        <v>8</v>
      </c>
      <c r="Z365" s="1">
        <v>7</v>
      </c>
      <c r="AA365" s="18">
        <v>300</v>
      </c>
    </row>
    <row r="366" spans="24:27" x14ac:dyDescent="0.25">
      <c r="X366" s="1">
        <v>3</v>
      </c>
      <c r="Y366" s="1">
        <v>8</v>
      </c>
      <c r="Z366" s="1">
        <v>7</v>
      </c>
      <c r="AA366" s="18">
        <v>0</v>
      </c>
    </row>
    <row r="367" spans="24:27" x14ac:dyDescent="0.25">
      <c r="X367" s="1">
        <v>4</v>
      </c>
      <c r="Y367" s="1">
        <v>8</v>
      </c>
      <c r="Z367" s="1">
        <v>7</v>
      </c>
      <c r="AA367" s="18">
        <v>130</v>
      </c>
    </row>
    <row r="368" spans="24:27" x14ac:dyDescent="0.25">
      <c r="X368" s="1">
        <v>1</v>
      </c>
      <c r="Y368" s="1">
        <v>8</v>
      </c>
      <c r="Z368" s="1">
        <v>8</v>
      </c>
      <c r="AA368" s="18">
        <v>1000</v>
      </c>
    </row>
    <row r="369" spans="24:27" x14ac:dyDescent="0.25">
      <c r="X369" s="1">
        <v>2</v>
      </c>
      <c r="Y369" s="1">
        <v>8</v>
      </c>
      <c r="Z369" s="1">
        <v>8</v>
      </c>
      <c r="AA369" s="18">
        <v>300</v>
      </c>
    </row>
    <row r="370" spans="24:27" x14ac:dyDescent="0.25">
      <c r="X370" s="1">
        <v>3</v>
      </c>
      <c r="Y370" s="1">
        <v>8</v>
      </c>
      <c r="Z370" s="1">
        <v>8</v>
      </c>
      <c r="AA370" s="18">
        <v>0</v>
      </c>
    </row>
    <row r="371" spans="24:27" x14ac:dyDescent="0.25">
      <c r="X371" s="1">
        <v>4</v>
      </c>
      <c r="Y371" s="1">
        <v>8</v>
      </c>
      <c r="Z371" s="1">
        <v>8</v>
      </c>
      <c r="AA371" s="18">
        <v>400</v>
      </c>
    </row>
    <row r="372" spans="24:27" x14ac:dyDescent="0.25">
      <c r="X372" s="1">
        <v>1</v>
      </c>
      <c r="Y372" s="1">
        <v>8</v>
      </c>
      <c r="Z372" s="1">
        <v>9</v>
      </c>
      <c r="AA372" s="18">
        <v>200</v>
      </c>
    </row>
    <row r="373" spans="24:27" x14ac:dyDescent="0.25">
      <c r="X373" s="1">
        <v>2</v>
      </c>
      <c r="Y373" s="1">
        <v>8</v>
      </c>
      <c r="Z373" s="1">
        <v>9</v>
      </c>
      <c r="AA373" s="18">
        <v>200</v>
      </c>
    </row>
    <row r="374" spans="24:27" x14ac:dyDescent="0.25">
      <c r="X374" s="1">
        <v>3</v>
      </c>
      <c r="Y374" s="1">
        <v>8</v>
      </c>
      <c r="Z374" s="1">
        <v>9</v>
      </c>
      <c r="AA374" s="18">
        <v>0</v>
      </c>
    </row>
    <row r="375" spans="24:27" x14ac:dyDescent="0.25">
      <c r="X375" s="1">
        <v>4</v>
      </c>
      <c r="Y375" s="1">
        <v>8</v>
      </c>
      <c r="Z375" s="1">
        <v>9</v>
      </c>
      <c r="AA375" s="18">
        <v>250</v>
      </c>
    </row>
    <row r="376" spans="24:27" x14ac:dyDescent="0.25">
      <c r="X376" s="1">
        <v>1</v>
      </c>
      <c r="Y376" s="1">
        <v>8</v>
      </c>
      <c r="Z376" s="1">
        <v>10</v>
      </c>
      <c r="AA376" s="18">
        <v>490</v>
      </c>
    </row>
    <row r="377" spans="24:27" x14ac:dyDescent="0.25">
      <c r="X377" s="1">
        <v>2</v>
      </c>
      <c r="Y377" s="1">
        <v>8</v>
      </c>
      <c r="Z377" s="1">
        <v>10</v>
      </c>
      <c r="AA377" s="18">
        <v>270</v>
      </c>
    </row>
    <row r="378" spans="24:27" x14ac:dyDescent="0.25">
      <c r="X378" s="1">
        <v>3</v>
      </c>
      <c r="Y378" s="1">
        <v>8</v>
      </c>
      <c r="Z378" s="1">
        <v>10</v>
      </c>
      <c r="AA378" s="18">
        <v>0</v>
      </c>
    </row>
    <row r="379" spans="24:27" x14ac:dyDescent="0.25">
      <c r="X379" s="1">
        <v>4</v>
      </c>
      <c r="Y379" s="1">
        <v>8</v>
      </c>
      <c r="Z379" s="1">
        <v>10</v>
      </c>
      <c r="AA379" s="18">
        <v>310</v>
      </c>
    </row>
    <row r="380" spans="24:27" x14ac:dyDescent="0.25">
      <c r="X380" s="1">
        <v>1</v>
      </c>
      <c r="Y380" s="1">
        <v>8</v>
      </c>
      <c r="Z380" s="1">
        <v>11</v>
      </c>
      <c r="AA380" s="18">
        <v>370</v>
      </c>
    </row>
    <row r="381" spans="24:27" x14ac:dyDescent="0.25">
      <c r="X381" s="1">
        <v>2</v>
      </c>
      <c r="Y381" s="1">
        <v>8</v>
      </c>
      <c r="Z381" s="1">
        <v>11</v>
      </c>
      <c r="AA381" s="18">
        <v>170</v>
      </c>
    </row>
    <row r="382" spans="24:27" x14ac:dyDescent="0.25">
      <c r="X382" s="1">
        <v>3</v>
      </c>
      <c r="Y382" s="1">
        <v>8</v>
      </c>
      <c r="Z382" s="1">
        <v>11</v>
      </c>
      <c r="AA382" s="18">
        <v>0</v>
      </c>
    </row>
    <row r="383" spans="24:27" x14ac:dyDescent="0.25">
      <c r="X383" s="1">
        <v>4</v>
      </c>
      <c r="Y383" s="1">
        <v>8</v>
      </c>
      <c r="Z383" s="1">
        <v>11</v>
      </c>
      <c r="AA383" s="18">
        <v>300</v>
      </c>
    </row>
    <row r="384" spans="24:27" x14ac:dyDescent="0.25">
      <c r="X384" s="1">
        <v>1</v>
      </c>
      <c r="Y384" s="1">
        <v>8</v>
      </c>
      <c r="Z384" s="1">
        <v>12</v>
      </c>
      <c r="AA384" s="18">
        <v>300</v>
      </c>
    </row>
    <row r="385" spans="24:34" x14ac:dyDescent="0.25">
      <c r="X385" s="1">
        <v>2</v>
      </c>
      <c r="Y385" s="1">
        <v>8</v>
      </c>
      <c r="Z385" s="1">
        <v>12</v>
      </c>
      <c r="AA385" s="18">
        <v>220</v>
      </c>
    </row>
    <row r="386" spans="24:34" x14ac:dyDescent="0.25">
      <c r="X386" s="1">
        <v>3</v>
      </c>
      <c r="Y386" s="1">
        <v>8</v>
      </c>
      <c r="Z386" s="1">
        <v>12</v>
      </c>
      <c r="AA386" s="18">
        <v>0</v>
      </c>
    </row>
    <row r="387" spans="24:34" x14ac:dyDescent="0.25">
      <c r="X387" s="1">
        <v>4</v>
      </c>
      <c r="Y387" s="1">
        <v>8</v>
      </c>
      <c r="Z387" s="1">
        <v>12</v>
      </c>
      <c r="AA387" s="18">
        <v>100</v>
      </c>
    </row>
    <row r="389" spans="24:34" x14ac:dyDescent="0.25">
      <c r="AB389">
        <v>2200</v>
      </c>
      <c r="AC389">
        <v>0.2</v>
      </c>
      <c r="AD389">
        <f t="shared" ref="AD389:AD396" si="1">AC389*$AB$389</f>
        <v>440</v>
      </c>
      <c r="AF389">
        <v>300</v>
      </c>
      <c r="AH389">
        <v>210</v>
      </c>
    </row>
    <row r="390" spans="24:34" x14ac:dyDescent="0.25">
      <c r="AC390">
        <v>0.2</v>
      </c>
      <c r="AD390">
        <f t="shared" si="1"/>
        <v>440</v>
      </c>
      <c r="AF390">
        <v>210</v>
      </c>
      <c r="AH390">
        <v>370</v>
      </c>
    </row>
    <row r="391" spans="24:34" x14ac:dyDescent="0.25">
      <c r="AC391">
        <v>0</v>
      </c>
      <c r="AD391">
        <f t="shared" si="1"/>
        <v>0</v>
      </c>
      <c r="AF391">
        <v>300</v>
      </c>
      <c r="AH391">
        <v>700</v>
      </c>
    </row>
    <row r="392" spans="24:34" x14ac:dyDescent="0.25">
      <c r="AC392">
        <v>0.1</v>
      </c>
      <c r="AD392">
        <f t="shared" si="1"/>
        <v>220</v>
      </c>
      <c r="AF392">
        <v>370</v>
      </c>
      <c r="AH392">
        <v>300</v>
      </c>
    </row>
    <row r="393" spans="24:34" x14ac:dyDescent="0.25">
      <c r="AC393">
        <v>0.2</v>
      </c>
      <c r="AD393">
        <f t="shared" si="1"/>
        <v>440</v>
      </c>
      <c r="AF393">
        <v>700</v>
      </c>
      <c r="AH393">
        <v>130</v>
      </c>
    </row>
    <row r="394" spans="24:34" x14ac:dyDescent="0.25">
      <c r="AC394">
        <v>0.2</v>
      </c>
      <c r="AD394">
        <f t="shared" si="1"/>
        <v>440</v>
      </c>
      <c r="AF394">
        <v>300</v>
      </c>
      <c r="AH394">
        <v>400</v>
      </c>
    </row>
    <row r="395" spans="24:34" x14ac:dyDescent="0.25">
      <c r="AC395">
        <v>0</v>
      </c>
      <c r="AD395">
        <f t="shared" si="1"/>
        <v>0</v>
      </c>
      <c r="AF395">
        <v>130</v>
      </c>
      <c r="AH395">
        <v>250</v>
      </c>
    </row>
    <row r="396" spans="24:34" x14ac:dyDescent="0.25">
      <c r="AC396">
        <v>0.1</v>
      </c>
      <c r="AD396">
        <f t="shared" si="1"/>
        <v>220</v>
      </c>
      <c r="AF396">
        <v>400</v>
      </c>
      <c r="AH396">
        <v>310</v>
      </c>
    </row>
    <row r="397" spans="24:34" x14ac:dyDescent="0.25">
      <c r="AF397">
        <v>250</v>
      </c>
      <c r="AH397">
        <v>300</v>
      </c>
    </row>
    <row r="398" spans="24:34" x14ac:dyDescent="0.25">
      <c r="AF398">
        <v>310</v>
      </c>
      <c r="AH398">
        <v>100</v>
      </c>
    </row>
    <row r="399" spans="24:34" x14ac:dyDescent="0.25">
      <c r="AF399">
        <v>300</v>
      </c>
      <c r="AH399">
        <v>300</v>
      </c>
    </row>
    <row r="400" spans="24:34" x14ac:dyDescent="0.25">
      <c r="AF400">
        <v>100</v>
      </c>
      <c r="AH400">
        <v>210</v>
      </c>
    </row>
    <row r="401" spans="32:34" x14ac:dyDescent="0.25">
      <c r="AF401">
        <v>600</v>
      </c>
      <c r="AH401">
        <v>300</v>
      </c>
    </row>
    <row r="402" spans="32:34" x14ac:dyDescent="0.25">
      <c r="AF402">
        <v>420</v>
      </c>
      <c r="AH402">
        <v>370</v>
      </c>
    </row>
    <row r="403" spans="32:34" x14ac:dyDescent="0.25">
      <c r="AF403">
        <v>600</v>
      </c>
      <c r="AH403">
        <v>700</v>
      </c>
    </row>
    <row r="404" spans="32:34" x14ac:dyDescent="0.25">
      <c r="AF404">
        <v>740</v>
      </c>
      <c r="AH404">
        <v>300</v>
      </c>
    </row>
    <row r="405" spans="32:34" x14ac:dyDescent="0.25">
      <c r="AF405">
        <v>1400</v>
      </c>
      <c r="AH405">
        <v>130</v>
      </c>
    </row>
    <row r="406" spans="32:34" x14ac:dyDescent="0.25">
      <c r="AF406">
        <v>600</v>
      </c>
      <c r="AH406">
        <v>400</v>
      </c>
    </row>
    <row r="407" spans="32:34" x14ac:dyDescent="0.25">
      <c r="AF407">
        <v>260</v>
      </c>
      <c r="AH407">
        <v>250</v>
      </c>
    </row>
    <row r="408" spans="32:34" x14ac:dyDescent="0.25">
      <c r="AF408">
        <v>800</v>
      </c>
      <c r="AH408">
        <v>310</v>
      </c>
    </row>
    <row r="409" spans="32:34" x14ac:dyDescent="0.25">
      <c r="AF409">
        <v>500</v>
      </c>
      <c r="AH409">
        <v>300</v>
      </c>
    </row>
    <row r="410" spans="32:34" x14ac:dyDescent="0.25">
      <c r="AF410">
        <v>620</v>
      </c>
      <c r="AH410">
        <v>100</v>
      </c>
    </row>
    <row r="411" spans="32:34" x14ac:dyDescent="0.25">
      <c r="AF411">
        <v>600</v>
      </c>
      <c r="AH411">
        <v>600</v>
      </c>
    </row>
    <row r="412" spans="32:34" x14ac:dyDescent="0.25">
      <c r="AF412">
        <v>200</v>
      </c>
      <c r="AH412">
        <v>420</v>
      </c>
    </row>
    <row r="413" spans="32:34" x14ac:dyDescent="0.25">
      <c r="AF413">
        <v>300</v>
      </c>
      <c r="AH413">
        <v>600</v>
      </c>
    </row>
    <row r="414" spans="32:34" x14ac:dyDescent="0.25">
      <c r="AF414">
        <v>210</v>
      </c>
      <c r="AH414">
        <v>740</v>
      </c>
    </row>
    <row r="415" spans="32:34" x14ac:dyDescent="0.25">
      <c r="AF415">
        <v>300</v>
      </c>
      <c r="AH415">
        <v>1400</v>
      </c>
    </row>
    <row r="416" spans="32:34" x14ac:dyDescent="0.25">
      <c r="AF416">
        <v>370</v>
      </c>
      <c r="AH416">
        <v>600</v>
      </c>
    </row>
    <row r="417" spans="32:34" x14ac:dyDescent="0.25">
      <c r="AF417">
        <v>700</v>
      </c>
      <c r="AH417">
        <v>260</v>
      </c>
    </row>
    <row r="418" spans="32:34" x14ac:dyDescent="0.25">
      <c r="AF418">
        <v>300</v>
      </c>
      <c r="AH418">
        <v>800</v>
      </c>
    </row>
    <row r="419" spans="32:34" x14ac:dyDescent="0.25">
      <c r="AF419">
        <v>130</v>
      </c>
      <c r="AH419">
        <v>500</v>
      </c>
    </row>
    <row r="420" spans="32:34" x14ac:dyDescent="0.25">
      <c r="AF420">
        <v>400</v>
      </c>
      <c r="AH420">
        <v>620</v>
      </c>
    </row>
    <row r="421" spans="32:34" x14ac:dyDescent="0.25">
      <c r="AF421">
        <v>250</v>
      </c>
      <c r="AH421">
        <v>600</v>
      </c>
    </row>
    <row r="422" spans="32:34" x14ac:dyDescent="0.25">
      <c r="AF422">
        <v>310</v>
      </c>
      <c r="AH422">
        <v>200</v>
      </c>
    </row>
    <row r="423" spans="32:34" x14ac:dyDescent="0.25">
      <c r="AF423">
        <v>300</v>
      </c>
      <c r="AH423">
        <v>300</v>
      </c>
    </row>
    <row r="424" spans="32:34" x14ac:dyDescent="0.25">
      <c r="AF424">
        <v>100</v>
      </c>
      <c r="AH424">
        <v>210</v>
      </c>
    </row>
    <row r="425" spans="32:34" x14ac:dyDescent="0.25">
      <c r="AF425">
        <v>300</v>
      </c>
      <c r="AH425">
        <v>300</v>
      </c>
    </row>
    <row r="426" spans="32:34" x14ac:dyDescent="0.25">
      <c r="AF426">
        <v>210</v>
      </c>
      <c r="AH426">
        <v>370</v>
      </c>
    </row>
    <row r="427" spans="32:34" x14ac:dyDescent="0.25">
      <c r="AF427">
        <v>300</v>
      </c>
      <c r="AH427">
        <v>700</v>
      </c>
    </row>
    <row r="428" spans="32:34" x14ac:dyDescent="0.25">
      <c r="AF428">
        <v>370</v>
      </c>
      <c r="AH428">
        <v>300</v>
      </c>
    </row>
    <row r="429" spans="32:34" x14ac:dyDescent="0.25">
      <c r="AF429">
        <v>700</v>
      </c>
      <c r="AH429">
        <v>130</v>
      </c>
    </row>
    <row r="430" spans="32:34" x14ac:dyDescent="0.25">
      <c r="AF430">
        <v>300</v>
      </c>
      <c r="AH430">
        <v>400</v>
      </c>
    </row>
    <row r="431" spans="32:34" x14ac:dyDescent="0.25">
      <c r="AF431">
        <v>130</v>
      </c>
      <c r="AH431">
        <v>250</v>
      </c>
    </row>
    <row r="432" spans="32:34" x14ac:dyDescent="0.25">
      <c r="AF432">
        <v>400</v>
      </c>
      <c r="AH432">
        <v>310</v>
      </c>
    </row>
    <row r="433" spans="32:34" x14ac:dyDescent="0.25">
      <c r="AF433">
        <v>250</v>
      </c>
      <c r="AH433">
        <v>300</v>
      </c>
    </row>
    <row r="434" spans="32:34" x14ac:dyDescent="0.25">
      <c r="AF434">
        <v>310</v>
      </c>
      <c r="AH434">
        <v>100</v>
      </c>
    </row>
    <row r="435" spans="32:34" x14ac:dyDescent="0.25">
      <c r="AF435">
        <v>300</v>
      </c>
      <c r="AH435">
        <v>300</v>
      </c>
    </row>
    <row r="436" spans="32:34" x14ac:dyDescent="0.25">
      <c r="AF436">
        <v>100</v>
      </c>
      <c r="AH436">
        <v>210</v>
      </c>
    </row>
    <row r="437" spans="32:34" x14ac:dyDescent="0.25">
      <c r="AF437">
        <v>300</v>
      </c>
      <c r="AH437">
        <v>300</v>
      </c>
    </row>
    <row r="438" spans="32:34" x14ac:dyDescent="0.25">
      <c r="AF438">
        <v>210</v>
      </c>
      <c r="AH438">
        <v>370</v>
      </c>
    </row>
    <row r="439" spans="32:34" x14ac:dyDescent="0.25">
      <c r="AF439">
        <v>300</v>
      </c>
      <c r="AH439">
        <v>700</v>
      </c>
    </row>
    <row r="440" spans="32:34" x14ac:dyDescent="0.25">
      <c r="AF440">
        <v>370</v>
      </c>
      <c r="AH440">
        <v>300</v>
      </c>
    </row>
    <row r="441" spans="32:34" x14ac:dyDescent="0.25">
      <c r="AF441">
        <v>700</v>
      </c>
      <c r="AH441">
        <v>130</v>
      </c>
    </row>
    <row r="442" spans="32:34" x14ac:dyDescent="0.25">
      <c r="AF442">
        <v>300</v>
      </c>
      <c r="AH442">
        <v>400</v>
      </c>
    </row>
    <row r="443" spans="32:34" x14ac:dyDescent="0.25">
      <c r="AF443">
        <v>130</v>
      </c>
      <c r="AH443">
        <v>250</v>
      </c>
    </row>
    <row r="444" spans="32:34" x14ac:dyDescent="0.25">
      <c r="AF444">
        <v>400</v>
      </c>
      <c r="AH444">
        <v>310</v>
      </c>
    </row>
    <row r="445" spans="32:34" x14ac:dyDescent="0.25">
      <c r="AF445">
        <v>250</v>
      </c>
      <c r="AH445">
        <v>300</v>
      </c>
    </row>
    <row r="446" spans="32:34" x14ac:dyDescent="0.25">
      <c r="AF446">
        <v>310</v>
      </c>
      <c r="AH446">
        <v>100</v>
      </c>
    </row>
    <row r="447" spans="32:34" x14ac:dyDescent="0.25">
      <c r="AF447">
        <v>300</v>
      </c>
    </row>
    <row r="448" spans="32:34" x14ac:dyDescent="0.25">
      <c r="AF448">
        <v>100</v>
      </c>
    </row>
    <row r="449" spans="32:32" x14ac:dyDescent="0.25">
      <c r="AF449">
        <v>600</v>
      </c>
    </row>
    <row r="450" spans="32:32" x14ac:dyDescent="0.25">
      <c r="AF450">
        <v>420</v>
      </c>
    </row>
    <row r="451" spans="32:32" x14ac:dyDescent="0.25">
      <c r="AF451">
        <v>600</v>
      </c>
    </row>
    <row r="452" spans="32:32" x14ac:dyDescent="0.25">
      <c r="AF452">
        <v>740</v>
      </c>
    </row>
    <row r="453" spans="32:32" x14ac:dyDescent="0.25">
      <c r="AF453">
        <v>1400</v>
      </c>
    </row>
    <row r="454" spans="32:32" x14ac:dyDescent="0.25">
      <c r="AF454">
        <v>600</v>
      </c>
    </row>
    <row r="455" spans="32:32" x14ac:dyDescent="0.25">
      <c r="AF455">
        <v>260</v>
      </c>
    </row>
    <row r="456" spans="32:32" x14ac:dyDescent="0.25">
      <c r="AF456">
        <v>800</v>
      </c>
    </row>
    <row r="457" spans="32:32" x14ac:dyDescent="0.25">
      <c r="AF457">
        <v>500</v>
      </c>
    </row>
    <row r="458" spans="32:32" x14ac:dyDescent="0.25">
      <c r="AF458">
        <v>620</v>
      </c>
    </row>
    <row r="459" spans="32:32" x14ac:dyDescent="0.25">
      <c r="AF459">
        <v>600</v>
      </c>
    </row>
    <row r="460" spans="32:32" x14ac:dyDescent="0.25">
      <c r="AF460">
        <v>200</v>
      </c>
    </row>
    <row r="461" spans="32:32" x14ac:dyDescent="0.25">
      <c r="AF461">
        <v>300</v>
      </c>
    </row>
    <row r="462" spans="32:32" x14ac:dyDescent="0.25">
      <c r="AF462">
        <v>210</v>
      </c>
    </row>
    <row r="463" spans="32:32" x14ac:dyDescent="0.25">
      <c r="AF463">
        <v>300</v>
      </c>
    </row>
    <row r="464" spans="32:32" x14ac:dyDescent="0.25">
      <c r="AF464">
        <v>370</v>
      </c>
    </row>
    <row r="465" spans="32:32" x14ac:dyDescent="0.25">
      <c r="AF465">
        <v>700</v>
      </c>
    </row>
    <row r="466" spans="32:32" x14ac:dyDescent="0.25">
      <c r="AF466">
        <v>300</v>
      </c>
    </row>
    <row r="467" spans="32:32" x14ac:dyDescent="0.25">
      <c r="AF467">
        <v>130</v>
      </c>
    </row>
    <row r="468" spans="32:32" x14ac:dyDescent="0.25">
      <c r="AF468">
        <v>400</v>
      </c>
    </row>
    <row r="469" spans="32:32" x14ac:dyDescent="0.25">
      <c r="AF469">
        <v>250</v>
      </c>
    </row>
    <row r="470" spans="32:32" x14ac:dyDescent="0.25">
      <c r="AF470">
        <v>310</v>
      </c>
    </row>
    <row r="471" spans="32:32" x14ac:dyDescent="0.25">
      <c r="AF471">
        <v>300</v>
      </c>
    </row>
    <row r="472" spans="32:32" x14ac:dyDescent="0.25">
      <c r="AF472">
        <v>100</v>
      </c>
    </row>
    <row r="473" spans="32:32" x14ac:dyDescent="0.25">
      <c r="AF473">
        <v>300</v>
      </c>
    </row>
    <row r="474" spans="32:32" x14ac:dyDescent="0.25">
      <c r="AF474">
        <v>210</v>
      </c>
    </row>
    <row r="475" spans="32:32" x14ac:dyDescent="0.25">
      <c r="AF475">
        <v>300</v>
      </c>
    </row>
    <row r="476" spans="32:32" x14ac:dyDescent="0.25">
      <c r="AF476">
        <v>370</v>
      </c>
    </row>
    <row r="477" spans="32:32" x14ac:dyDescent="0.25">
      <c r="AF477">
        <v>700</v>
      </c>
    </row>
    <row r="478" spans="32:32" x14ac:dyDescent="0.25">
      <c r="AF478">
        <v>300</v>
      </c>
    </row>
    <row r="479" spans="32:32" x14ac:dyDescent="0.25">
      <c r="AF479">
        <v>130</v>
      </c>
    </row>
    <row r="480" spans="32:32" x14ac:dyDescent="0.25">
      <c r="AF480">
        <v>400</v>
      </c>
    </row>
    <row r="481" spans="32:32" x14ac:dyDescent="0.25">
      <c r="AF481">
        <v>250</v>
      </c>
    </row>
    <row r="482" spans="32:32" x14ac:dyDescent="0.25">
      <c r="AF482">
        <v>310</v>
      </c>
    </row>
    <row r="483" spans="32:32" x14ac:dyDescent="0.25">
      <c r="AF483">
        <v>300</v>
      </c>
    </row>
    <row r="484" spans="32:32" x14ac:dyDescent="0.25">
      <c r="AF484">
        <v>100</v>
      </c>
    </row>
  </sheetData>
  <mergeCells count="8">
    <mergeCell ref="AK2:AL2"/>
    <mergeCell ref="A2:D2"/>
    <mergeCell ref="AC2:AE2"/>
    <mergeCell ref="AG2:AI2"/>
    <mergeCell ref="F2:H2"/>
    <mergeCell ref="J2:L2"/>
    <mergeCell ref="N2:Q2"/>
    <mergeCell ref="X2:AA2"/>
  </mergeCells>
  <dataValidations disablePrompts="1" count="1">
    <dataValidation type="whole" operator="greaterThanOrEqual" showInputMessage="1" showErrorMessage="1" sqref="H4:H19" xr:uid="{00000000-0002-0000-0000-000000000000}">
      <formula1>0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2:AO387"/>
  <sheetViews>
    <sheetView topLeftCell="V1" workbookViewId="0">
      <selection activeCell="G22" sqref="G22"/>
    </sheetView>
  </sheetViews>
  <sheetFormatPr baseColWidth="10" defaultColWidth="9.140625" defaultRowHeight="15" x14ac:dyDescent="0.25"/>
  <cols>
    <col min="1" max="1" width="11.42578125" style="29" bestFit="1" customWidth="1"/>
    <col min="2" max="2" width="9.85546875" style="29" bestFit="1" customWidth="1"/>
    <col min="3" max="3" width="10" style="29" bestFit="1" customWidth="1"/>
    <col min="4" max="4" width="10.7109375" style="29" bestFit="1" customWidth="1"/>
    <col min="5" max="6" width="9.140625" style="29" customWidth="1"/>
    <col min="7" max="7" width="11.42578125" style="29" bestFit="1" customWidth="1"/>
    <col min="8" max="13" width="9.140625" style="29" customWidth="1"/>
    <col min="14" max="14" width="9.5703125" style="29" customWidth="1"/>
    <col min="15" max="15" width="11.42578125" style="29" bestFit="1" customWidth="1"/>
    <col min="16" max="18" width="9.140625" style="29" customWidth="1"/>
    <col min="19" max="19" width="11.28515625" style="29" customWidth="1"/>
    <col min="20" max="20" width="10.140625" style="29" bestFit="1" customWidth="1"/>
    <col min="21" max="21" width="10" style="29" bestFit="1" customWidth="1"/>
    <col min="22" max="22" width="9.7109375" style="29" bestFit="1" customWidth="1"/>
    <col min="23" max="23" width="9.140625" style="29" customWidth="1"/>
    <col min="24" max="25" width="11.28515625" style="29" customWidth="1"/>
    <col min="26" max="26" width="10.85546875" style="29" customWidth="1"/>
    <col min="27" max="28" width="9.140625" style="29" customWidth="1"/>
    <col min="29" max="29" width="11.42578125" style="29" customWidth="1"/>
    <col min="30" max="30" width="10" style="29" bestFit="1" customWidth="1"/>
    <col min="31" max="36" width="9.140625" style="29" customWidth="1"/>
    <col min="37" max="37" width="19.7109375" style="29" bestFit="1" customWidth="1"/>
    <col min="38" max="39" width="9.140625" style="29" customWidth="1"/>
    <col min="40" max="40" width="16.42578125" style="29" bestFit="1" customWidth="1"/>
    <col min="41" max="55" width="9.140625" style="29" customWidth="1"/>
    <col min="56" max="16384" width="9.140625" style="29"/>
  </cols>
  <sheetData>
    <row r="2" spans="1:41" x14ac:dyDescent="0.25">
      <c r="A2" s="46" t="s">
        <v>0</v>
      </c>
      <c r="B2" s="48"/>
      <c r="C2" s="48"/>
      <c r="D2" s="47"/>
      <c r="F2" s="46" t="s">
        <v>1</v>
      </c>
      <c r="G2" s="48"/>
      <c r="H2" s="47"/>
      <c r="J2" s="46" t="s">
        <v>2</v>
      </c>
      <c r="K2" s="48"/>
      <c r="L2" s="47"/>
      <c r="N2" s="46" t="s">
        <v>3</v>
      </c>
      <c r="O2" s="48"/>
      <c r="P2" s="48"/>
      <c r="Q2" s="47"/>
      <c r="S2" s="46" t="s">
        <v>4</v>
      </c>
      <c r="T2" s="48"/>
      <c r="U2" s="48"/>
      <c r="V2" s="47"/>
      <c r="X2" s="46" t="s">
        <v>5</v>
      </c>
      <c r="Y2" s="48"/>
      <c r="Z2" s="48"/>
      <c r="AA2" s="47"/>
      <c r="AC2" s="46" t="s">
        <v>6</v>
      </c>
      <c r="AD2" s="48"/>
      <c r="AE2" s="47"/>
      <c r="AG2" s="46" t="s">
        <v>7</v>
      </c>
      <c r="AH2" s="48"/>
      <c r="AI2" s="47"/>
      <c r="AK2" s="46" t="s">
        <v>8</v>
      </c>
      <c r="AL2" s="47"/>
      <c r="AN2" s="41" t="s">
        <v>9</v>
      </c>
      <c r="AO2" s="18">
        <v>5000</v>
      </c>
    </row>
    <row r="3" spans="1:41" x14ac:dyDescent="0.25">
      <c r="A3" s="41" t="s">
        <v>10</v>
      </c>
      <c r="B3" s="41" t="s">
        <v>11</v>
      </c>
      <c r="C3" s="41" t="s">
        <v>12</v>
      </c>
      <c r="D3" s="41" t="s">
        <v>13</v>
      </c>
      <c r="F3" s="41" t="s">
        <v>11</v>
      </c>
      <c r="G3" s="41" t="s">
        <v>10</v>
      </c>
      <c r="H3" s="41" t="s">
        <v>14</v>
      </c>
      <c r="J3" s="41" t="s">
        <v>11</v>
      </c>
      <c r="K3" s="41" t="s">
        <v>10</v>
      </c>
      <c r="L3" s="41" t="s">
        <v>15</v>
      </c>
      <c r="N3" s="41" t="s">
        <v>11</v>
      </c>
      <c r="O3" s="41" t="s">
        <v>10</v>
      </c>
      <c r="P3" s="41" t="s">
        <v>12</v>
      </c>
      <c r="Q3" s="21" t="s">
        <v>16</v>
      </c>
      <c r="S3" s="41" t="s">
        <v>10</v>
      </c>
      <c r="T3" s="41" t="s">
        <v>17</v>
      </c>
      <c r="U3" s="41" t="s">
        <v>12</v>
      </c>
      <c r="V3" s="41" t="s">
        <v>18</v>
      </c>
      <c r="X3" s="41" t="s">
        <v>10</v>
      </c>
      <c r="Y3" s="41" t="s">
        <v>17</v>
      </c>
      <c r="Z3" s="41" t="s">
        <v>19</v>
      </c>
      <c r="AA3" s="41" t="s">
        <v>20</v>
      </c>
      <c r="AC3" s="41" t="s">
        <v>10</v>
      </c>
      <c r="AD3" s="41" t="s">
        <v>12</v>
      </c>
      <c r="AE3" s="41" t="s">
        <v>21</v>
      </c>
      <c r="AG3" s="41" t="s">
        <v>10</v>
      </c>
      <c r="AH3" s="41" t="s">
        <v>12</v>
      </c>
      <c r="AI3" s="41" t="s">
        <v>22</v>
      </c>
      <c r="AK3" s="41" t="s">
        <v>10</v>
      </c>
      <c r="AL3" s="41" t="s">
        <v>23</v>
      </c>
    </row>
    <row r="4" spans="1:41" x14ac:dyDescent="0.25">
      <c r="A4" s="1">
        <v>1</v>
      </c>
      <c r="B4" s="1">
        <v>1</v>
      </c>
      <c r="C4" s="1">
        <v>1</v>
      </c>
      <c r="D4" s="20">
        <v>3</v>
      </c>
      <c r="F4" s="1">
        <v>1</v>
      </c>
      <c r="G4" s="1">
        <v>1</v>
      </c>
      <c r="H4" s="19">
        <v>50</v>
      </c>
      <c r="J4" s="1">
        <v>1</v>
      </c>
      <c r="K4" s="1">
        <v>1</v>
      </c>
      <c r="L4" s="20">
        <v>4000</v>
      </c>
      <c r="N4" s="1">
        <v>1</v>
      </c>
      <c r="O4" s="1">
        <v>1</v>
      </c>
      <c r="P4" s="1">
        <v>1</v>
      </c>
      <c r="Q4" s="18">
        <v>4.5</v>
      </c>
      <c r="S4" s="1">
        <v>1</v>
      </c>
      <c r="T4" s="1">
        <v>1</v>
      </c>
      <c r="U4" s="1">
        <v>1</v>
      </c>
      <c r="V4" s="23">
        <v>0.8999999999996362</v>
      </c>
      <c r="X4" s="1">
        <v>1</v>
      </c>
      <c r="Y4" s="1">
        <v>1</v>
      </c>
      <c r="Z4" s="1">
        <v>1</v>
      </c>
      <c r="AA4" s="18">
        <v>1400</v>
      </c>
      <c r="AC4" s="1">
        <v>1</v>
      </c>
      <c r="AD4" s="1">
        <v>1</v>
      </c>
      <c r="AE4" s="22">
        <v>0.35</v>
      </c>
      <c r="AG4" s="1">
        <v>1</v>
      </c>
      <c r="AH4" s="1">
        <v>1</v>
      </c>
      <c r="AI4" s="18">
        <v>20000</v>
      </c>
      <c r="AK4" s="1">
        <v>1</v>
      </c>
      <c r="AL4" s="18">
        <v>200</v>
      </c>
    </row>
    <row r="5" spans="1:41" x14ac:dyDescent="0.25">
      <c r="A5" s="1">
        <v>2</v>
      </c>
      <c r="B5" s="1">
        <v>1</v>
      </c>
      <c r="C5" s="1">
        <v>1</v>
      </c>
      <c r="D5" s="20">
        <v>4</v>
      </c>
      <c r="F5" s="1">
        <v>2</v>
      </c>
      <c r="G5" s="1">
        <v>1</v>
      </c>
      <c r="H5" s="19">
        <v>55</v>
      </c>
      <c r="J5" s="1">
        <v>2</v>
      </c>
      <c r="K5" s="1">
        <v>1</v>
      </c>
      <c r="L5" s="20">
        <v>4000</v>
      </c>
      <c r="N5" s="1">
        <v>2</v>
      </c>
      <c r="O5" s="1">
        <v>1</v>
      </c>
      <c r="P5" s="1">
        <v>1</v>
      </c>
      <c r="Q5" s="22">
        <v>5.806451612903226</v>
      </c>
      <c r="S5" s="1">
        <v>2</v>
      </c>
      <c r="T5" s="1">
        <v>1</v>
      </c>
      <c r="U5" s="1">
        <v>1</v>
      </c>
      <c r="V5" s="23">
        <v>0.8999999999996362</v>
      </c>
      <c r="X5" s="1">
        <v>2</v>
      </c>
      <c r="Y5" s="1">
        <v>1</v>
      </c>
      <c r="Z5" s="1">
        <v>1</v>
      </c>
      <c r="AA5" s="18">
        <v>400</v>
      </c>
      <c r="AC5" s="1">
        <v>2</v>
      </c>
      <c r="AD5" s="1">
        <v>1</v>
      </c>
      <c r="AE5" s="22">
        <v>0.4</v>
      </c>
      <c r="AG5" s="1">
        <v>2</v>
      </c>
      <c r="AH5" s="1">
        <v>1</v>
      </c>
      <c r="AI5" s="18">
        <v>20000</v>
      </c>
      <c r="AK5" s="1">
        <v>2</v>
      </c>
      <c r="AL5" s="18">
        <v>150</v>
      </c>
    </row>
    <row r="6" spans="1:41" x14ac:dyDescent="0.25">
      <c r="A6" s="1">
        <v>3</v>
      </c>
      <c r="B6" s="1">
        <v>1</v>
      </c>
      <c r="C6" s="1">
        <v>1</v>
      </c>
      <c r="D6" s="20">
        <v>10</v>
      </c>
      <c r="F6" s="1">
        <v>3</v>
      </c>
      <c r="G6" s="1">
        <v>1</v>
      </c>
      <c r="H6" s="19">
        <v>52</v>
      </c>
      <c r="J6" s="1">
        <v>3</v>
      </c>
      <c r="K6" s="1">
        <v>1</v>
      </c>
      <c r="L6" s="20">
        <v>3000</v>
      </c>
      <c r="N6" s="1">
        <v>3</v>
      </c>
      <c r="O6" s="1">
        <v>1</v>
      </c>
      <c r="P6" s="1">
        <v>1</v>
      </c>
      <c r="Q6" s="22">
        <v>7.1999999999999993</v>
      </c>
      <c r="S6" s="1">
        <v>3</v>
      </c>
      <c r="T6" s="1">
        <v>1</v>
      </c>
      <c r="U6" s="1">
        <v>1</v>
      </c>
      <c r="V6" s="23">
        <v>0.8999999999996362</v>
      </c>
      <c r="X6" s="1">
        <v>3</v>
      </c>
      <c r="Y6" s="1">
        <v>1</v>
      </c>
      <c r="Z6" s="1">
        <v>1</v>
      </c>
      <c r="AA6" s="18">
        <v>100</v>
      </c>
      <c r="AC6" s="1">
        <v>3</v>
      </c>
      <c r="AD6" s="1">
        <v>1</v>
      </c>
      <c r="AE6" s="22">
        <v>0.7</v>
      </c>
      <c r="AG6" s="1">
        <v>3</v>
      </c>
      <c r="AH6" s="1">
        <v>1</v>
      </c>
      <c r="AI6" s="18">
        <v>20000</v>
      </c>
      <c r="AK6" s="1">
        <v>3</v>
      </c>
      <c r="AL6" s="18">
        <v>100</v>
      </c>
    </row>
    <row r="7" spans="1:41" x14ac:dyDescent="0.25">
      <c r="A7" s="1">
        <v>4</v>
      </c>
      <c r="B7" s="1">
        <v>1</v>
      </c>
      <c r="C7" s="1">
        <v>1</v>
      </c>
      <c r="D7" s="20">
        <v>2</v>
      </c>
      <c r="F7" s="1">
        <v>4</v>
      </c>
      <c r="G7" s="1">
        <v>1</v>
      </c>
      <c r="H7" s="19">
        <v>60</v>
      </c>
      <c r="J7" s="1">
        <v>4</v>
      </c>
      <c r="K7" s="1">
        <v>1</v>
      </c>
      <c r="L7" s="20">
        <v>3000</v>
      </c>
      <c r="N7" s="1">
        <v>4</v>
      </c>
      <c r="O7" s="1">
        <v>1</v>
      </c>
      <c r="P7" s="1">
        <v>1</v>
      </c>
      <c r="Q7" s="22">
        <v>6.44</v>
      </c>
      <c r="S7" s="1">
        <v>4</v>
      </c>
      <c r="T7" s="1">
        <v>1</v>
      </c>
      <c r="U7" s="1">
        <v>1</v>
      </c>
      <c r="V7" s="23">
        <v>0.8999999999996362</v>
      </c>
      <c r="X7" s="1">
        <v>4</v>
      </c>
      <c r="Y7" s="1">
        <v>1</v>
      </c>
      <c r="Z7" s="1">
        <v>1</v>
      </c>
      <c r="AA7" s="18">
        <v>300</v>
      </c>
      <c r="AC7" s="1">
        <v>4</v>
      </c>
      <c r="AD7" s="1">
        <v>1</v>
      </c>
      <c r="AE7" s="22">
        <v>0.5</v>
      </c>
      <c r="AG7" s="1">
        <v>4</v>
      </c>
      <c r="AH7" s="1">
        <v>1</v>
      </c>
      <c r="AI7" s="18">
        <v>20000</v>
      </c>
      <c r="AK7" s="1">
        <v>4</v>
      </c>
      <c r="AL7" s="18">
        <v>300</v>
      </c>
    </row>
    <row r="8" spans="1:41" x14ac:dyDescent="0.25">
      <c r="A8" s="1">
        <v>1</v>
      </c>
      <c r="B8" s="1">
        <v>2</v>
      </c>
      <c r="C8" s="1">
        <v>1</v>
      </c>
      <c r="D8" s="20">
        <v>3</v>
      </c>
      <c r="F8" s="1">
        <v>1</v>
      </c>
      <c r="G8" s="1">
        <v>2</v>
      </c>
      <c r="H8" s="19">
        <v>100</v>
      </c>
      <c r="J8" s="1">
        <v>1</v>
      </c>
      <c r="K8" s="1">
        <v>2</v>
      </c>
      <c r="L8" s="20">
        <v>4000</v>
      </c>
      <c r="N8" s="1">
        <v>1</v>
      </c>
      <c r="O8" s="1">
        <v>2</v>
      </c>
      <c r="P8" s="1">
        <v>1</v>
      </c>
      <c r="Q8" s="18">
        <v>4.5</v>
      </c>
      <c r="S8" s="1">
        <v>1</v>
      </c>
      <c r="T8" s="1">
        <v>2</v>
      </c>
      <c r="U8" s="1">
        <v>1</v>
      </c>
      <c r="V8" s="23">
        <v>199.55000000000021</v>
      </c>
      <c r="X8" s="1">
        <v>1</v>
      </c>
      <c r="Y8" s="1">
        <v>1</v>
      </c>
      <c r="Z8" s="1">
        <v>2</v>
      </c>
      <c r="AA8" s="18">
        <v>800</v>
      </c>
      <c r="AC8" s="1">
        <v>1</v>
      </c>
      <c r="AD8" s="1">
        <v>2</v>
      </c>
      <c r="AE8" s="20">
        <v>0.25</v>
      </c>
      <c r="AG8" s="1">
        <v>1</v>
      </c>
      <c r="AH8" s="1">
        <v>2</v>
      </c>
      <c r="AI8" s="18">
        <v>20000</v>
      </c>
    </row>
    <row r="9" spans="1:41" x14ac:dyDescent="0.25">
      <c r="A9" s="1">
        <v>2</v>
      </c>
      <c r="B9" s="1">
        <v>2</v>
      </c>
      <c r="C9" s="1">
        <v>1</v>
      </c>
      <c r="D9" s="20">
        <v>3</v>
      </c>
      <c r="F9" s="1">
        <v>2</v>
      </c>
      <c r="G9" s="1">
        <v>2</v>
      </c>
      <c r="H9" s="19">
        <v>110</v>
      </c>
      <c r="J9" s="1">
        <v>2</v>
      </c>
      <c r="K9" s="1">
        <v>2</v>
      </c>
      <c r="L9" s="20">
        <v>2000</v>
      </c>
      <c r="N9" s="1">
        <v>2</v>
      </c>
      <c r="O9" s="1">
        <v>2</v>
      </c>
      <c r="P9" s="1">
        <v>1</v>
      </c>
      <c r="Q9" s="22">
        <v>5.806451612903226</v>
      </c>
      <c r="S9" s="1">
        <v>2</v>
      </c>
      <c r="T9" s="1">
        <v>2</v>
      </c>
      <c r="U9" s="1">
        <v>1</v>
      </c>
      <c r="V9" s="23">
        <v>199.55000000000021</v>
      </c>
      <c r="X9" s="1">
        <v>2</v>
      </c>
      <c r="Y9" s="1">
        <v>1</v>
      </c>
      <c r="Z9" s="1">
        <v>2</v>
      </c>
      <c r="AA9" s="18">
        <v>600</v>
      </c>
      <c r="AC9" s="1">
        <v>2</v>
      </c>
      <c r="AD9" s="1">
        <v>2</v>
      </c>
      <c r="AE9" s="20">
        <v>0.2</v>
      </c>
      <c r="AG9" s="1">
        <v>2</v>
      </c>
      <c r="AH9" s="1">
        <v>2</v>
      </c>
      <c r="AI9" s="18">
        <v>20000</v>
      </c>
    </row>
    <row r="10" spans="1:41" x14ac:dyDescent="0.25">
      <c r="A10" s="1">
        <v>3</v>
      </c>
      <c r="B10" s="1">
        <v>2</v>
      </c>
      <c r="C10" s="1">
        <v>1</v>
      </c>
      <c r="D10" s="20">
        <v>12</v>
      </c>
      <c r="F10" s="1">
        <v>3</v>
      </c>
      <c r="G10" s="1">
        <v>2</v>
      </c>
      <c r="H10" s="19">
        <v>110</v>
      </c>
      <c r="J10" s="1">
        <v>3</v>
      </c>
      <c r="K10" s="1">
        <v>2</v>
      </c>
      <c r="L10" s="20">
        <v>4000</v>
      </c>
      <c r="N10" s="1">
        <v>3</v>
      </c>
      <c r="O10" s="1">
        <v>2</v>
      </c>
      <c r="P10" s="1">
        <v>1</v>
      </c>
      <c r="Q10" s="22">
        <v>7.1999999999999993</v>
      </c>
      <c r="S10" s="1">
        <v>3</v>
      </c>
      <c r="T10" s="1">
        <v>2</v>
      </c>
      <c r="U10" s="1">
        <v>1</v>
      </c>
      <c r="V10" s="23">
        <v>199.55000000000021</v>
      </c>
      <c r="X10" s="1">
        <v>3</v>
      </c>
      <c r="Y10" s="1">
        <v>1</v>
      </c>
      <c r="Z10" s="1">
        <v>2</v>
      </c>
      <c r="AA10" s="18">
        <v>300</v>
      </c>
      <c r="AC10" s="1">
        <v>3</v>
      </c>
      <c r="AD10" s="1">
        <v>2</v>
      </c>
      <c r="AE10" s="20">
        <v>0.5</v>
      </c>
      <c r="AG10" s="1">
        <v>3</v>
      </c>
      <c r="AH10" s="1">
        <v>2</v>
      </c>
      <c r="AI10" s="18">
        <v>20000</v>
      </c>
    </row>
    <row r="11" spans="1:41" x14ac:dyDescent="0.25">
      <c r="A11" s="1">
        <v>4</v>
      </c>
      <c r="B11" s="1">
        <v>2</v>
      </c>
      <c r="C11" s="1">
        <v>1</v>
      </c>
      <c r="D11" s="20">
        <v>2</v>
      </c>
      <c r="F11" s="1">
        <v>4</v>
      </c>
      <c r="G11" s="1">
        <v>2</v>
      </c>
      <c r="H11" s="19">
        <v>120</v>
      </c>
      <c r="J11" s="1">
        <v>4</v>
      </c>
      <c r="K11" s="1">
        <v>2</v>
      </c>
      <c r="L11" s="20">
        <v>3000</v>
      </c>
      <c r="N11" s="1">
        <v>4</v>
      </c>
      <c r="O11" s="1">
        <v>2</v>
      </c>
      <c r="P11" s="1">
        <v>1</v>
      </c>
      <c r="Q11" s="22">
        <v>6.44</v>
      </c>
      <c r="S11" s="1">
        <v>4</v>
      </c>
      <c r="T11" s="1">
        <v>2</v>
      </c>
      <c r="U11" s="1">
        <v>1</v>
      </c>
      <c r="V11" s="23">
        <v>199.55000000000021</v>
      </c>
      <c r="X11" s="1">
        <v>4</v>
      </c>
      <c r="Y11" s="1">
        <v>1</v>
      </c>
      <c r="Z11" s="1">
        <v>2</v>
      </c>
      <c r="AA11" s="18">
        <v>210</v>
      </c>
      <c r="AC11" s="1">
        <v>4</v>
      </c>
      <c r="AD11" s="1">
        <v>2</v>
      </c>
      <c r="AE11" s="20">
        <v>0.3</v>
      </c>
      <c r="AG11" s="1">
        <v>4</v>
      </c>
      <c r="AH11" s="1">
        <v>2</v>
      </c>
      <c r="AI11" s="18">
        <v>20000</v>
      </c>
    </row>
    <row r="12" spans="1:41" x14ac:dyDescent="0.25">
      <c r="A12" s="1">
        <v>1</v>
      </c>
      <c r="B12" s="1">
        <v>3</v>
      </c>
      <c r="C12" s="1">
        <v>1</v>
      </c>
      <c r="D12" s="20">
        <v>3</v>
      </c>
      <c r="F12" s="1">
        <v>1</v>
      </c>
      <c r="G12" s="1">
        <v>3</v>
      </c>
      <c r="H12" s="19">
        <v>300</v>
      </c>
      <c r="J12" s="1">
        <v>1</v>
      </c>
      <c r="K12" s="1">
        <v>3</v>
      </c>
      <c r="L12" s="20">
        <v>6000</v>
      </c>
      <c r="N12" s="1">
        <v>1</v>
      </c>
      <c r="O12" s="1">
        <v>3</v>
      </c>
      <c r="P12" s="1">
        <v>1</v>
      </c>
      <c r="Q12" s="18">
        <v>4.5</v>
      </c>
      <c r="S12" s="1">
        <v>1</v>
      </c>
      <c r="T12" s="1">
        <v>3</v>
      </c>
      <c r="U12" s="1">
        <v>1</v>
      </c>
      <c r="V12" s="23">
        <v>165.88000000000011</v>
      </c>
      <c r="X12" s="1">
        <v>1</v>
      </c>
      <c r="Y12" s="1">
        <v>1</v>
      </c>
      <c r="Z12" s="1">
        <v>3</v>
      </c>
      <c r="AA12" s="18">
        <v>600</v>
      </c>
    </row>
    <row r="13" spans="1:41" x14ac:dyDescent="0.25">
      <c r="A13" s="1">
        <v>2</v>
      </c>
      <c r="B13" s="1">
        <v>3</v>
      </c>
      <c r="C13" s="1">
        <v>1</v>
      </c>
      <c r="D13" s="20">
        <v>4</v>
      </c>
      <c r="F13" s="1">
        <v>2</v>
      </c>
      <c r="G13" s="1">
        <v>3</v>
      </c>
      <c r="H13" s="19">
        <v>310</v>
      </c>
      <c r="J13" s="1">
        <v>2</v>
      </c>
      <c r="K13" s="1">
        <v>3</v>
      </c>
      <c r="L13" s="20">
        <v>0</v>
      </c>
      <c r="N13" s="1">
        <v>2</v>
      </c>
      <c r="O13" s="1">
        <v>3</v>
      </c>
      <c r="P13" s="1">
        <v>1</v>
      </c>
      <c r="Q13" s="22">
        <v>5.806451612903226</v>
      </c>
      <c r="S13" s="1">
        <v>2</v>
      </c>
      <c r="T13" s="1">
        <v>3</v>
      </c>
      <c r="U13" s="1">
        <v>1</v>
      </c>
      <c r="V13" s="23">
        <v>165.88000000000011</v>
      </c>
      <c r="X13" s="1">
        <v>2</v>
      </c>
      <c r="Y13" s="1">
        <v>1</v>
      </c>
      <c r="Z13" s="1">
        <v>3</v>
      </c>
      <c r="AA13" s="18">
        <v>800</v>
      </c>
    </row>
    <row r="14" spans="1:41" x14ac:dyDescent="0.25">
      <c r="A14" s="1">
        <v>3</v>
      </c>
      <c r="B14" s="1">
        <v>3</v>
      </c>
      <c r="C14" s="1">
        <v>1</v>
      </c>
      <c r="D14" s="20">
        <v>10</v>
      </c>
      <c r="F14" s="1">
        <v>3</v>
      </c>
      <c r="G14" s="1">
        <v>3</v>
      </c>
      <c r="H14" s="19">
        <v>305</v>
      </c>
      <c r="J14" s="1">
        <v>3</v>
      </c>
      <c r="K14" s="1">
        <v>3</v>
      </c>
      <c r="L14" s="20">
        <v>4000</v>
      </c>
      <c r="N14" s="1">
        <v>3</v>
      </c>
      <c r="O14" s="1">
        <v>3</v>
      </c>
      <c r="P14" s="1">
        <v>1</v>
      </c>
      <c r="Q14" s="22">
        <v>7.1999999999999993</v>
      </c>
      <c r="S14" s="1">
        <v>3</v>
      </c>
      <c r="T14" s="1">
        <v>3</v>
      </c>
      <c r="U14" s="1">
        <v>1</v>
      </c>
      <c r="V14" s="23">
        <v>165.88000000000011</v>
      </c>
      <c r="X14" s="1">
        <v>3</v>
      </c>
      <c r="Y14" s="1">
        <v>1</v>
      </c>
      <c r="Z14" s="1">
        <v>3</v>
      </c>
      <c r="AA14" s="18">
        <v>600</v>
      </c>
    </row>
    <row r="15" spans="1:41" x14ac:dyDescent="0.25">
      <c r="A15" s="1">
        <v>4</v>
      </c>
      <c r="B15" s="1">
        <v>3</v>
      </c>
      <c r="C15" s="1">
        <v>1</v>
      </c>
      <c r="D15" s="20">
        <v>3</v>
      </c>
      <c r="F15" s="1">
        <v>4</v>
      </c>
      <c r="G15" s="1">
        <v>3</v>
      </c>
      <c r="H15" s="19">
        <v>320</v>
      </c>
      <c r="J15" s="1">
        <v>4</v>
      </c>
      <c r="K15" s="1">
        <v>3</v>
      </c>
      <c r="L15" s="20">
        <v>2000</v>
      </c>
      <c r="N15" s="1">
        <v>4</v>
      </c>
      <c r="O15" s="1">
        <v>3</v>
      </c>
      <c r="P15" s="1">
        <v>1</v>
      </c>
      <c r="Q15" s="22">
        <v>6.44</v>
      </c>
      <c r="S15" s="1">
        <v>4</v>
      </c>
      <c r="T15" s="1">
        <v>3</v>
      </c>
      <c r="U15" s="1">
        <v>1</v>
      </c>
      <c r="V15" s="23">
        <v>165.88000000000011</v>
      </c>
      <c r="X15" s="1">
        <v>4</v>
      </c>
      <c r="Y15" s="1">
        <v>1</v>
      </c>
      <c r="Z15" s="1">
        <v>3</v>
      </c>
      <c r="AA15" s="18">
        <v>300</v>
      </c>
    </row>
    <row r="16" spans="1:41" x14ac:dyDescent="0.25">
      <c r="A16" s="1">
        <v>1</v>
      </c>
      <c r="B16" s="1">
        <v>4</v>
      </c>
      <c r="C16" s="1">
        <v>1</v>
      </c>
      <c r="D16" s="20">
        <v>4</v>
      </c>
      <c r="F16" s="1">
        <v>1</v>
      </c>
      <c r="G16" s="1">
        <v>4</v>
      </c>
      <c r="H16" s="19">
        <v>150</v>
      </c>
      <c r="J16" s="1">
        <v>1</v>
      </c>
      <c r="K16" s="1">
        <v>4</v>
      </c>
      <c r="L16" s="20">
        <v>2000</v>
      </c>
      <c r="N16" s="1">
        <v>1</v>
      </c>
      <c r="O16" s="1">
        <v>4</v>
      </c>
      <c r="P16" s="1">
        <v>1</v>
      </c>
      <c r="Q16" s="18">
        <v>4.5</v>
      </c>
      <c r="S16" s="1">
        <v>1</v>
      </c>
      <c r="T16" s="1">
        <v>4</v>
      </c>
      <c r="U16" s="1">
        <v>1</v>
      </c>
      <c r="V16" s="23">
        <v>443</v>
      </c>
      <c r="X16" s="1">
        <v>1</v>
      </c>
      <c r="Y16" s="1">
        <v>1</v>
      </c>
      <c r="Z16" s="1">
        <v>4</v>
      </c>
      <c r="AA16" s="18">
        <v>500</v>
      </c>
    </row>
    <row r="17" spans="1:27" x14ac:dyDescent="0.25">
      <c r="A17" s="1">
        <v>2</v>
      </c>
      <c r="B17" s="1">
        <v>4</v>
      </c>
      <c r="C17" s="1">
        <v>1</v>
      </c>
      <c r="D17" s="20">
        <v>4</v>
      </c>
      <c r="F17" s="1">
        <v>2</v>
      </c>
      <c r="G17" s="1">
        <v>4</v>
      </c>
      <c r="H17" s="19">
        <v>140</v>
      </c>
      <c r="J17" s="1">
        <v>2</v>
      </c>
      <c r="K17" s="1">
        <v>4</v>
      </c>
      <c r="L17" s="20">
        <v>4000</v>
      </c>
      <c r="N17" s="1">
        <v>2</v>
      </c>
      <c r="O17" s="1">
        <v>4</v>
      </c>
      <c r="P17" s="1">
        <v>1</v>
      </c>
      <c r="Q17" s="22">
        <v>5.806451612903226</v>
      </c>
      <c r="S17" s="1">
        <v>2</v>
      </c>
      <c r="T17" s="1">
        <v>4</v>
      </c>
      <c r="U17" s="1">
        <v>1</v>
      </c>
      <c r="V17" s="23">
        <v>443</v>
      </c>
      <c r="X17" s="1">
        <v>2</v>
      </c>
      <c r="Y17" s="1">
        <v>1</v>
      </c>
      <c r="Z17" s="1">
        <v>4</v>
      </c>
      <c r="AA17" s="18">
        <v>600</v>
      </c>
    </row>
    <row r="18" spans="1:27" x14ac:dyDescent="0.25">
      <c r="A18" s="1">
        <v>3</v>
      </c>
      <c r="B18" s="1">
        <v>4</v>
      </c>
      <c r="C18" s="1">
        <v>1</v>
      </c>
      <c r="D18" s="20">
        <v>11</v>
      </c>
      <c r="F18" s="1">
        <v>3</v>
      </c>
      <c r="G18" s="1">
        <v>4</v>
      </c>
      <c r="H18" s="19">
        <v>155</v>
      </c>
      <c r="J18" s="1">
        <v>3</v>
      </c>
      <c r="K18" s="1">
        <v>4</v>
      </c>
      <c r="L18" s="20">
        <v>4000</v>
      </c>
      <c r="N18" s="1">
        <v>3</v>
      </c>
      <c r="O18" s="1">
        <v>4</v>
      </c>
      <c r="P18" s="1">
        <v>1</v>
      </c>
      <c r="Q18" s="22">
        <v>7.1999999999999993</v>
      </c>
      <c r="S18" s="1">
        <v>3</v>
      </c>
      <c r="T18" s="1">
        <v>4</v>
      </c>
      <c r="U18" s="1">
        <v>1</v>
      </c>
      <c r="V18" s="23">
        <v>443</v>
      </c>
      <c r="X18" s="1">
        <v>3</v>
      </c>
      <c r="Y18" s="1">
        <v>1</v>
      </c>
      <c r="Z18" s="1">
        <v>4</v>
      </c>
      <c r="AA18" s="18">
        <v>500</v>
      </c>
    </row>
    <row r="19" spans="1:27" x14ac:dyDescent="0.25">
      <c r="A19" s="1">
        <v>4</v>
      </c>
      <c r="B19" s="1">
        <v>4</v>
      </c>
      <c r="C19" s="1">
        <v>1</v>
      </c>
      <c r="D19" s="20">
        <v>2</v>
      </c>
      <c r="F19" s="1">
        <v>4</v>
      </c>
      <c r="G19" s="1">
        <v>4</v>
      </c>
      <c r="H19" s="19">
        <v>160</v>
      </c>
      <c r="J19" s="1">
        <v>4</v>
      </c>
      <c r="K19" s="1">
        <v>4</v>
      </c>
      <c r="L19" s="20">
        <v>2000</v>
      </c>
      <c r="N19" s="1">
        <v>4</v>
      </c>
      <c r="O19" s="1">
        <v>4</v>
      </c>
      <c r="P19" s="1">
        <v>1</v>
      </c>
      <c r="Q19" s="22">
        <v>6.44</v>
      </c>
      <c r="S19" s="1">
        <v>4</v>
      </c>
      <c r="T19" s="1">
        <v>4</v>
      </c>
      <c r="U19" s="1">
        <v>1</v>
      </c>
      <c r="V19" s="23">
        <v>443</v>
      </c>
      <c r="X19" s="1">
        <v>4</v>
      </c>
      <c r="Y19" s="1">
        <v>1</v>
      </c>
      <c r="Z19" s="1">
        <v>4</v>
      </c>
      <c r="AA19" s="18">
        <v>370</v>
      </c>
    </row>
    <row r="20" spans="1:27" x14ac:dyDescent="0.25">
      <c r="A20" s="1">
        <v>1</v>
      </c>
      <c r="B20" s="1">
        <v>1</v>
      </c>
      <c r="C20" s="1">
        <v>1</v>
      </c>
      <c r="D20" s="20">
        <v>3</v>
      </c>
      <c r="N20" s="1">
        <v>1</v>
      </c>
      <c r="O20" s="1">
        <v>1</v>
      </c>
      <c r="P20" s="1">
        <v>2</v>
      </c>
      <c r="Q20" s="18">
        <v>4.5</v>
      </c>
      <c r="S20" s="1">
        <v>1</v>
      </c>
      <c r="T20" s="1">
        <v>5</v>
      </c>
      <c r="U20" s="1">
        <v>1</v>
      </c>
      <c r="V20" s="23">
        <v>629.85000000000036</v>
      </c>
      <c r="X20" s="1">
        <v>1</v>
      </c>
      <c r="Y20" s="1">
        <v>1</v>
      </c>
      <c r="Z20" s="1">
        <v>5</v>
      </c>
      <c r="AA20" s="18">
        <v>600</v>
      </c>
    </row>
    <row r="21" spans="1:27" x14ac:dyDescent="0.25">
      <c r="A21" s="1">
        <v>2</v>
      </c>
      <c r="B21" s="1">
        <v>1</v>
      </c>
      <c r="C21" s="1">
        <v>1</v>
      </c>
      <c r="D21" s="20">
        <v>4</v>
      </c>
      <c r="N21" s="1">
        <v>2</v>
      </c>
      <c r="O21" s="1">
        <v>1</v>
      </c>
      <c r="P21" s="1">
        <v>2</v>
      </c>
      <c r="Q21" s="22">
        <v>5.806451612903226</v>
      </c>
      <c r="S21" s="1">
        <v>2</v>
      </c>
      <c r="T21" s="1">
        <v>5</v>
      </c>
      <c r="U21" s="1">
        <v>1</v>
      </c>
      <c r="V21" s="23">
        <v>629.85000000000036</v>
      </c>
      <c r="X21" s="1">
        <v>2</v>
      </c>
      <c r="Y21" s="1">
        <v>1</v>
      </c>
      <c r="Z21" s="1">
        <v>5</v>
      </c>
      <c r="AA21" s="18">
        <v>400</v>
      </c>
    </row>
    <row r="22" spans="1:27" x14ac:dyDescent="0.25">
      <c r="A22" s="1">
        <v>3</v>
      </c>
      <c r="B22" s="1">
        <v>1</v>
      </c>
      <c r="C22" s="1">
        <v>1</v>
      </c>
      <c r="D22" s="20">
        <v>10</v>
      </c>
      <c r="N22" s="1">
        <v>3</v>
      </c>
      <c r="O22" s="1">
        <v>1</v>
      </c>
      <c r="P22" s="1">
        <v>2</v>
      </c>
      <c r="Q22" s="22">
        <v>7.1999999999999993</v>
      </c>
      <c r="S22" s="1">
        <v>3</v>
      </c>
      <c r="T22" s="1">
        <v>5</v>
      </c>
      <c r="U22" s="1">
        <v>1</v>
      </c>
      <c r="V22" s="23">
        <v>629.85000000000036</v>
      </c>
      <c r="X22" s="1">
        <v>3</v>
      </c>
      <c r="Y22" s="1">
        <v>1</v>
      </c>
      <c r="Z22" s="1">
        <v>5</v>
      </c>
      <c r="AA22" s="18">
        <v>200</v>
      </c>
    </row>
    <row r="23" spans="1:27" x14ac:dyDescent="0.25">
      <c r="A23" s="1">
        <v>4</v>
      </c>
      <c r="B23" s="1">
        <v>1</v>
      </c>
      <c r="C23" s="1">
        <v>1</v>
      </c>
      <c r="D23" s="20">
        <v>2</v>
      </c>
      <c r="N23" s="1">
        <v>4</v>
      </c>
      <c r="O23" s="1">
        <v>1</v>
      </c>
      <c r="P23" s="1">
        <v>2</v>
      </c>
      <c r="Q23" s="22">
        <v>6.44</v>
      </c>
      <c r="S23" s="1">
        <v>4</v>
      </c>
      <c r="T23" s="1">
        <v>5</v>
      </c>
      <c r="U23" s="1">
        <v>1</v>
      </c>
      <c r="V23" s="23">
        <v>629.85000000000036</v>
      </c>
      <c r="X23" s="1">
        <v>4</v>
      </c>
      <c r="Y23" s="1">
        <v>1</v>
      </c>
      <c r="Z23" s="1">
        <v>5</v>
      </c>
      <c r="AA23" s="18">
        <v>700</v>
      </c>
    </row>
    <row r="24" spans="1:27" x14ac:dyDescent="0.25">
      <c r="A24" s="1">
        <v>1</v>
      </c>
      <c r="B24" s="1">
        <v>2</v>
      </c>
      <c r="C24" s="1">
        <v>1</v>
      </c>
      <c r="D24" s="20">
        <v>3</v>
      </c>
      <c r="N24" s="1">
        <v>1</v>
      </c>
      <c r="O24" s="1">
        <v>2</v>
      </c>
      <c r="P24" s="1">
        <v>2</v>
      </c>
      <c r="Q24" s="18">
        <v>4.5</v>
      </c>
      <c r="S24" s="1">
        <v>1</v>
      </c>
      <c r="T24" s="1">
        <v>6</v>
      </c>
      <c r="U24" s="1">
        <v>1</v>
      </c>
      <c r="V24" s="23">
        <v>719.81999999999971</v>
      </c>
      <c r="X24" s="1">
        <v>1</v>
      </c>
      <c r="Y24" s="1">
        <v>1</v>
      </c>
      <c r="Z24" s="1">
        <v>6</v>
      </c>
      <c r="AA24" s="18">
        <v>800</v>
      </c>
    </row>
    <row r="25" spans="1:27" x14ac:dyDescent="0.25">
      <c r="A25" s="1">
        <v>2</v>
      </c>
      <c r="B25" s="1">
        <v>2</v>
      </c>
      <c r="C25" s="1">
        <v>1</v>
      </c>
      <c r="D25" s="20">
        <v>3</v>
      </c>
      <c r="N25" s="1">
        <v>2</v>
      </c>
      <c r="O25" s="1">
        <v>2</v>
      </c>
      <c r="P25" s="1">
        <v>2</v>
      </c>
      <c r="Q25" s="22">
        <v>5.806451612903226</v>
      </c>
      <c r="S25" s="1">
        <v>2</v>
      </c>
      <c r="T25" s="1">
        <v>6</v>
      </c>
      <c r="U25" s="1">
        <v>1</v>
      </c>
      <c r="V25" s="23">
        <v>719.81999999999971</v>
      </c>
      <c r="X25" s="1">
        <v>2</v>
      </c>
      <c r="Y25" s="1">
        <v>1</v>
      </c>
      <c r="Z25" s="1">
        <v>6</v>
      </c>
      <c r="AA25" s="18">
        <v>1400</v>
      </c>
    </row>
    <row r="26" spans="1:27" x14ac:dyDescent="0.25">
      <c r="A26" s="1">
        <v>3</v>
      </c>
      <c r="B26" s="1">
        <v>2</v>
      </c>
      <c r="C26" s="1">
        <v>1</v>
      </c>
      <c r="D26" s="20">
        <v>12</v>
      </c>
      <c r="N26" s="1">
        <v>3</v>
      </c>
      <c r="O26" s="1">
        <v>2</v>
      </c>
      <c r="P26" s="1">
        <v>2</v>
      </c>
      <c r="Q26" s="22">
        <v>7.1999999999999993</v>
      </c>
      <c r="S26" s="1">
        <v>3</v>
      </c>
      <c r="T26" s="1">
        <v>6</v>
      </c>
      <c r="U26" s="1">
        <v>1</v>
      </c>
      <c r="V26" s="23">
        <v>719.81999999999971</v>
      </c>
      <c r="X26" s="1">
        <v>3</v>
      </c>
      <c r="Y26" s="1">
        <v>1</v>
      </c>
      <c r="Z26" s="1">
        <v>6</v>
      </c>
      <c r="AA26" s="18">
        <v>340</v>
      </c>
    </row>
    <row r="27" spans="1:27" x14ac:dyDescent="0.25">
      <c r="A27" s="1">
        <v>4</v>
      </c>
      <c r="B27" s="1">
        <v>2</v>
      </c>
      <c r="C27" s="1">
        <v>1</v>
      </c>
      <c r="D27" s="20">
        <v>2</v>
      </c>
      <c r="N27" s="1">
        <v>4</v>
      </c>
      <c r="O27" s="1">
        <v>2</v>
      </c>
      <c r="P27" s="1">
        <v>2</v>
      </c>
      <c r="Q27" s="22">
        <v>6.44</v>
      </c>
      <c r="S27" s="1">
        <v>4</v>
      </c>
      <c r="T27" s="1">
        <v>6</v>
      </c>
      <c r="U27" s="1">
        <v>1</v>
      </c>
      <c r="V27" s="23">
        <v>719.81999999999971</v>
      </c>
      <c r="X27" s="1">
        <v>4</v>
      </c>
      <c r="Y27" s="1">
        <v>1</v>
      </c>
      <c r="Z27" s="1">
        <v>6</v>
      </c>
      <c r="AA27" s="18">
        <v>300</v>
      </c>
    </row>
    <row r="28" spans="1:27" x14ac:dyDescent="0.25">
      <c r="A28" s="1">
        <v>1</v>
      </c>
      <c r="B28" s="1">
        <v>3</v>
      </c>
      <c r="C28" s="1">
        <v>1</v>
      </c>
      <c r="D28" s="20">
        <v>3</v>
      </c>
      <c r="N28" s="1">
        <v>1</v>
      </c>
      <c r="O28" s="1">
        <v>3</v>
      </c>
      <c r="P28" s="1">
        <v>2</v>
      </c>
      <c r="Q28" s="18">
        <v>4.5</v>
      </c>
      <c r="S28" s="1">
        <v>1</v>
      </c>
      <c r="T28" s="1">
        <v>7</v>
      </c>
      <c r="U28" s="1">
        <v>1</v>
      </c>
      <c r="V28" s="23">
        <v>798</v>
      </c>
      <c r="X28" s="1">
        <v>1</v>
      </c>
      <c r="Y28" s="1">
        <v>1</v>
      </c>
      <c r="Z28" s="1">
        <v>7</v>
      </c>
      <c r="AA28" s="18">
        <v>600</v>
      </c>
    </row>
    <row r="29" spans="1:27" x14ac:dyDescent="0.25">
      <c r="A29" s="1">
        <v>2</v>
      </c>
      <c r="B29" s="1">
        <v>3</v>
      </c>
      <c r="C29" s="1">
        <v>1</v>
      </c>
      <c r="D29" s="20">
        <v>4</v>
      </c>
      <c r="N29" s="1">
        <v>2</v>
      </c>
      <c r="O29" s="1">
        <v>3</v>
      </c>
      <c r="P29" s="1">
        <v>2</v>
      </c>
      <c r="Q29" s="22">
        <v>5.806451612903226</v>
      </c>
      <c r="S29" s="1">
        <v>2</v>
      </c>
      <c r="T29" s="1">
        <v>7</v>
      </c>
      <c r="U29" s="1">
        <v>1</v>
      </c>
      <c r="V29" s="23">
        <v>798</v>
      </c>
      <c r="X29" s="1">
        <v>2</v>
      </c>
      <c r="Y29" s="1">
        <v>1</v>
      </c>
      <c r="Z29" s="1">
        <v>7</v>
      </c>
      <c r="AA29" s="18">
        <v>600</v>
      </c>
    </row>
    <row r="30" spans="1:27" x14ac:dyDescent="0.25">
      <c r="A30" s="1">
        <v>3</v>
      </c>
      <c r="B30" s="1">
        <v>3</v>
      </c>
      <c r="C30" s="1">
        <v>1</v>
      </c>
      <c r="D30" s="20">
        <v>10</v>
      </c>
      <c r="N30" s="1">
        <v>3</v>
      </c>
      <c r="O30" s="1">
        <v>3</v>
      </c>
      <c r="P30" s="1">
        <v>2</v>
      </c>
      <c r="Q30" s="22">
        <v>7.1999999999999993</v>
      </c>
      <c r="S30" s="1">
        <v>3</v>
      </c>
      <c r="T30" s="1">
        <v>7</v>
      </c>
      <c r="U30" s="1">
        <v>1</v>
      </c>
      <c r="V30" s="23">
        <v>798</v>
      </c>
      <c r="X30" s="1">
        <v>3</v>
      </c>
      <c r="Y30" s="1">
        <v>1</v>
      </c>
      <c r="Z30" s="1">
        <v>7</v>
      </c>
      <c r="AA30" s="18">
        <v>600</v>
      </c>
    </row>
    <row r="31" spans="1:27" x14ac:dyDescent="0.25">
      <c r="A31" s="1">
        <v>4</v>
      </c>
      <c r="B31" s="1">
        <v>3</v>
      </c>
      <c r="C31" s="1">
        <v>1</v>
      </c>
      <c r="D31" s="20">
        <v>3</v>
      </c>
      <c r="N31" s="1">
        <v>4</v>
      </c>
      <c r="O31" s="1">
        <v>3</v>
      </c>
      <c r="P31" s="1">
        <v>2</v>
      </c>
      <c r="Q31" s="22">
        <v>6.44</v>
      </c>
      <c r="S31" s="1">
        <v>4</v>
      </c>
      <c r="T31" s="1">
        <v>7</v>
      </c>
      <c r="U31" s="1">
        <v>1</v>
      </c>
      <c r="V31" s="23">
        <v>798</v>
      </c>
      <c r="X31" s="1">
        <v>4</v>
      </c>
      <c r="Y31" s="1">
        <v>1</v>
      </c>
      <c r="Z31" s="1">
        <v>7</v>
      </c>
      <c r="AA31" s="18">
        <v>130</v>
      </c>
    </row>
    <row r="32" spans="1:27" x14ac:dyDescent="0.25">
      <c r="A32" s="1">
        <v>1</v>
      </c>
      <c r="B32" s="1">
        <v>4</v>
      </c>
      <c r="C32" s="1">
        <v>1</v>
      </c>
      <c r="D32" s="20">
        <v>4</v>
      </c>
      <c r="N32" s="1">
        <v>1</v>
      </c>
      <c r="O32" s="1">
        <v>4</v>
      </c>
      <c r="P32" s="1">
        <v>2</v>
      </c>
      <c r="Q32" s="18">
        <v>4.5</v>
      </c>
      <c r="S32" s="1">
        <v>1</v>
      </c>
      <c r="T32" s="1">
        <v>8</v>
      </c>
      <c r="U32" s="1">
        <v>1</v>
      </c>
      <c r="V32" s="23">
        <v>419.39999999999958</v>
      </c>
      <c r="X32" s="1">
        <v>1</v>
      </c>
      <c r="Y32" s="1">
        <v>1</v>
      </c>
      <c r="Z32" s="1">
        <v>8</v>
      </c>
      <c r="AA32" s="18">
        <v>2000</v>
      </c>
    </row>
    <row r="33" spans="1:27" x14ac:dyDescent="0.25">
      <c r="A33" s="1">
        <v>2</v>
      </c>
      <c r="B33" s="1">
        <v>4</v>
      </c>
      <c r="C33" s="1">
        <v>1</v>
      </c>
      <c r="D33" s="20">
        <v>4</v>
      </c>
      <c r="N33" s="1">
        <v>2</v>
      </c>
      <c r="O33" s="1">
        <v>4</v>
      </c>
      <c r="P33" s="1">
        <v>2</v>
      </c>
      <c r="Q33" s="22">
        <v>5.806451612903226</v>
      </c>
      <c r="S33" s="1">
        <v>2</v>
      </c>
      <c r="T33" s="1">
        <v>8</v>
      </c>
      <c r="U33" s="1">
        <v>1</v>
      </c>
      <c r="V33" s="23">
        <v>419.39999999999958</v>
      </c>
      <c r="X33" s="1">
        <v>2</v>
      </c>
      <c r="Y33" s="1">
        <v>1</v>
      </c>
      <c r="Z33" s="1">
        <v>8</v>
      </c>
      <c r="AA33" s="18">
        <v>600</v>
      </c>
    </row>
    <row r="34" spans="1:27" x14ac:dyDescent="0.25">
      <c r="A34" s="1">
        <v>3</v>
      </c>
      <c r="B34" s="1">
        <v>4</v>
      </c>
      <c r="C34" s="1">
        <v>1</v>
      </c>
      <c r="D34" s="20">
        <v>11</v>
      </c>
      <c r="N34" s="1">
        <v>3</v>
      </c>
      <c r="O34" s="1">
        <v>4</v>
      </c>
      <c r="P34" s="1">
        <v>2</v>
      </c>
      <c r="Q34" s="22">
        <v>7.1999999999999993</v>
      </c>
      <c r="S34" s="1">
        <v>3</v>
      </c>
      <c r="T34" s="1">
        <v>8</v>
      </c>
      <c r="U34" s="1">
        <v>1</v>
      </c>
      <c r="V34" s="23">
        <v>419.39999999999958</v>
      </c>
      <c r="X34" s="1">
        <v>3</v>
      </c>
      <c r="Y34" s="1">
        <v>1</v>
      </c>
      <c r="Z34" s="1">
        <v>8</v>
      </c>
      <c r="AA34" s="18">
        <v>300</v>
      </c>
    </row>
    <row r="35" spans="1:27" x14ac:dyDescent="0.25">
      <c r="A35" s="1">
        <v>4</v>
      </c>
      <c r="B35" s="1">
        <v>4</v>
      </c>
      <c r="C35" s="1">
        <v>1</v>
      </c>
      <c r="D35" s="20">
        <v>2</v>
      </c>
      <c r="N35" s="1">
        <v>4</v>
      </c>
      <c r="O35" s="1">
        <v>4</v>
      </c>
      <c r="P35" s="1">
        <v>2</v>
      </c>
      <c r="Q35" s="22">
        <v>6.44</v>
      </c>
      <c r="S35" s="1">
        <v>4</v>
      </c>
      <c r="T35" s="1">
        <v>8</v>
      </c>
      <c r="U35" s="1">
        <v>1</v>
      </c>
      <c r="V35" s="23">
        <v>419.39999999999958</v>
      </c>
      <c r="X35" s="1">
        <v>4</v>
      </c>
      <c r="Y35" s="1">
        <v>1</v>
      </c>
      <c r="Z35" s="1">
        <v>8</v>
      </c>
      <c r="AA35" s="18">
        <v>400</v>
      </c>
    </row>
    <row r="36" spans="1:27" x14ac:dyDescent="0.25">
      <c r="S36" s="1">
        <v>1</v>
      </c>
      <c r="T36" s="1">
        <v>1</v>
      </c>
      <c r="U36" s="1">
        <v>2</v>
      </c>
      <c r="V36" s="23">
        <v>201.5</v>
      </c>
      <c r="X36" s="1">
        <v>1</v>
      </c>
      <c r="Y36" s="1">
        <v>1</v>
      </c>
      <c r="Z36" s="1">
        <v>9</v>
      </c>
      <c r="AA36" s="18">
        <v>400</v>
      </c>
    </row>
    <row r="37" spans="1:27" x14ac:dyDescent="0.25">
      <c r="S37" s="1">
        <v>2</v>
      </c>
      <c r="T37" s="1">
        <v>1</v>
      </c>
      <c r="U37" s="1">
        <v>2</v>
      </c>
      <c r="V37" s="23">
        <v>201.5</v>
      </c>
      <c r="X37" s="1">
        <v>2</v>
      </c>
      <c r="Y37" s="1">
        <v>1</v>
      </c>
      <c r="Z37" s="1">
        <v>9</v>
      </c>
      <c r="AA37" s="18">
        <v>400</v>
      </c>
    </row>
    <row r="38" spans="1:27" x14ac:dyDescent="0.25">
      <c r="S38" s="1">
        <v>3</v>
      </c>
      <c r="T38" s="1">
        <v>1</v>
      </c>
      <c r="U38" s="1">
        <v>2</v>
      </c>
      <c r="V38" s="23">
        <v>201.5</v>
      </c>
      <c r="X38" s="1">
        <v>3</v>
      </c>
      <c r="Y38" s="1">
        <v>1</v>
      </c>
      <c r="Z38" s="1">
        <v>9</v>
      </c>
      <c r="AA38" s="18">
        <v>300</v>
      </c>
    </row>
    <row r="39" spans="1:27" x14ac:dyDescent="0.25">
      <c r="S39" s="1">
        <v>4</v>
      </c>
      <c r="T39" s="1">
        <v>1</v>
      </c>
      <c r="U39" s="1">
        <v>2</v>
      </c>
      <c r="V39" s="23">
        <v>201.5</v>
      </c>
      <c r="X39" s="1">
        <v>4</v>
      </c>
      <c r="Y39" s="1">
        <v>1</v>
      </c>
      <c r="Z39" s="1">
        <v>9</v>
      </c>
      <c r="AA39" s="18">
        <v>250</v>
      </c>
    </row>
    <row r="40" spans="1:27" x14ac:dyDescent="0.25">
      <c r="S40" s="1">
        <v>1</v>
      </c>
      <c r="T40" s="1">
        <v>2</v>
      </c>
      <c r="U40" s="1">
        <v>2</v>
      </c>
      <c r="V40" s="23">
        <v>1.9499999999998181</v>
      </c>
      <c r="X40" s="1">
        <v>1</v>
      </c>
      <c r="Y40" s="1">
        <v>1</v>
      </c>
      <c r="Z40" s="1">
        <v>10</v>
      </c>
      <c r="AA40" s="18">
        <v>980</v>
      </c>
    </row>
    <row r="41" spans="1:27" x14ac:dyDescent="0.25">
      <c r="S41" s="1">
        <v>2</v>
      </c>
      <c r="T41" s="1">
        <v>2</v>
      </c>
      <c r="U41" s="1">
        <v>2</v>
      </c>
      <c r="V41" s="23">
        <v>1.9499999999998181</v>
      </c>
      <c r="X41" s="1">
        <v>2</v>
      </c>
      <c r="Y41" s="1">
        <v>1</v>
      </c>
      <c r="Z41" s="1">
        <v>10</v>
      </c>
      <c r="AA41" s="18">
        <v>540</v>
      </c>
    </row>
    <row r="42" spans="1:27" x14ac:dyDescent="0.25">
      <c r="S42" s="1">
        <v>3</v>
      </c>
      <c r="T42" s="1">
        <v>2</v>
      </c>
      <c r="U42" s="1">
        <v>2</v>
      </c>
      <c r="V42" s="23">
        <v>1.9499999999998181</v>
      </c>
      <c r="X42" s="1">
        <v>3</v>
      </c>
      <c r="Y42" s="1">
        <v>1</v>
      </c>
      <c r="Z42" s="1">
        <v>10</v>
      </c>
      <c r="AA42" s="18">
        <v>500</v>
      </c>
    </row>
    <row r="43" spans="1:27" x14ac:dyDescent="0.25">
      <c r="S43" s="1">
        <v>4</v>
      </c>
      <c r="T43" s="1">
        <v>2</v>
      </c>
      <c r="U43" s="1">
        <v>2</v>
      </c>
      <c r="V43" s="23">
        <v>1.9499999999998181</v>
      </c>
      <c r="X43" s="1">
        <v>4</v>
      </c>
      <c r="Y43" s="1">
        <v>1</v>
      </c>
      <c r="Z43" s="1">
        <v>10</v>
      </c>
      <c r="AA43" s="18">
        <v>310</v>
      </c>
    </row>
    <row r="44" spans="1:27" x14ac:dyDescent="0.25">
      <c r="S44" s="1">
        <v>1</v>
      </c>
      <c r="T44" s="1">
        <v>3</v>
      </c>
      <c r="U44" s="1">
        <v>2</v>
      </c>
      <c r="V44" s="23">
        <v>154.19999999999979</v>
      </c>
      <c r="X44" s="1">
        <v>1</v>
      </c>
      <c r="Y44" s="1">
        <v>1</v>
      </c>
      <c r="Z44" s="1">
        <v>11</v>
      </c>
      <c r="AA44" s="18">
        <v>740</v>
      </c>
    </row>
    <row r="45" spans="1:27" x14ac:dyDescent="0.25">
      <c r="S45" s="1">
        <v>2</v>
      </c>
      <c r="T45" s="1">
        <v>3</v>
      </c>
      <c r="U45" s="1">
        <v>2</v>
      </c>
      <c r="V45" s="23">
        <v>154.19999999999979</v>
      </c>
      <c r="X45" s="1">
        <v>2</v>
      </c>
      <c r="Y45" s="1">
        <v>1</v>
      </c>
      <c r="Z45" s="1">
        <v>11</v>
      </c>
      <c r="AA45" s="18">
        <v>340</v>
      </c>
    </row>
    <row r="46" spans="1:27" x14ac:dyDescent="0.25">
      <c r="S46" s="1">
        <v>3</v>
      </c>
      <c r="T46" s="1">
        <v>3</v>
      </c>
      <c r="U46" s="1">
        <v>2</v>
      </c>
      <c r="V46" s="23">
        <v>154.19999999999979</v>
      </c>
      <c r="X46" s="1">
        <v>3</v>
      </c>
      <c r="Y46" s="1">
        <v>1</v>
      </c>
      <c r="Z46" s="1">
        <v>11</v>
      </c>
      <c r="AA46" s="18">
        <v>470</v>
      </c>
    </row>
    <row r="47" spans="1:27" x14ac:dyDescent="0.25">
      <c r="S47" s="1">
        <v>4</v>
      </c>
      <c r="T47" s="1">
        <v>3</v>
      </c>
      <c r="U47" s="1">
        <v>2</v>
      </c>
      <c r="V47" s="23">
        <v>154.19999999999979</v>
      </c>
      <c r="X47" s="1">
        <v>4</v>
      </c>
      <c r="Y47" s="1">
        <v>1</v>
      </c>
      <c r="Z47" s="1">
        <v>11</v>
      </c>
      <c r="AA47" s="18">
        <v>300</v>
      </c>
    </row>
    <row r="48" spans="1:27" x14ac:dyDescent="0.25">
      <c r="S48" s="1">
        <v>1</v>
      </c>
      <c r="T48" s="1">
        <v>4</v>
      </c>
      <c r="U48" s="1">
        <v>2</v>
      </c>
      <c r="V48" s="23">
        <v>640.07999999999993</v>
      </c>
      <c r="X48" s="1">
        <v>1</v>
      </c>
      <c r="Y48" s="1">
        <v>1</v>
      </c>
      <c r="Z48" s="1">
        <v>12</v>
      </c>
      <c r="AA48" s="18">
        <v>600</v>
      </c>
    </row>
    <row r="49" spans="19:27" x14ac:dyDescent="0.25">
      <c r="S49" s="1">
        <v>2</v>
      </c>
      <c r="T49" s="1">
        <v>4</v>
      </c>
      <c r="U49" s="1">
        <v>2</v>
      </c>
      <c r="V49" s="23">
        <v>640.07999999999993</v>
      </c>
      <c r="X49" s="1">
        <v>2</v>
      </c>
      <c r="Y49" s="1">
        <v>1</v>
      </c>
      <c r="Z49" s="1">
        <v>12</v>
      </c>
      <c r="AA49" s="18">
        <v>440</v>
      </c>
    </row>
    <row r="50" spans="19:27" x14ac:dyDescent="0.25">
      <c r="S50" s="1">
        <v>3</v>
      </c>
      <c r="T50" s="1">
        <v>4</v>
      </c>
      <c r="U50" s="1">
        <v>2</v>
      </c>
      <c r="V50" s="23">
        <v>640.07999999999993</v>
      </c>
      <c r="X50" s="1">
        <v>3</v>
      </c>
      <c r="Y50" s="1">
        <v>1</v>
      </c>
      <c r="Z50" s="1">
        <v>12</v>
      </c>
      <c r="AA50" s="18">
        <v>500</v>
      </c>
    </row>
    <row r="51" spans="19:27" x14ac:dyDescent="0.25">
      <c r="S51" s="1">
        <v>4</v>
      </c>
      <c r="T51" s="1">
        <v>4</v>
      </c>
      <c r="U51" s="1">
        <v>2</v>
      </c>
      <c r="V51" s="23">
        <v>640.07999999999993</v>
      </c>
      <c r="X51" s="1">
        <v>4</v>
      </c>
      <c r="Y51" s="1">
        <v>1</v>
      </c>
      <c r="Z51" s="1">
        <v>12</v>
      </c>
      <c r="AA51" s="18">
        <v>100</v>
      </c>
    </row>
    <row r="52" spans="19:27" x14ac:dyDescent="0.25">
      <c r="S52" s="1">
        <v>1</v>
      </c>
      <c r="T52" s="1">
        <v>5</v>
      </c>
      <c r="U52" s="1">
        <v>2</v>
      </c>
      <c r="V52" s="23">
        <v>529.60000000000036</v>
      </c>
      <c r="X52" s="1">
        <v>1</v>
      </c>
      <c r="Y52" s="1">
        <v>2</v>
      </c>
      <c r="Z52" s="1">
        <v>1</v>
      </c>
      <c r="AA52" s="18">
        <v>700</v>
      </c>
    </row>
    <row r="53" spans="19:27" x14ac:dyDescent="0.25">
      <c r="S53" s="1">
        <v>2</v>
      </c>
      <c r="T53" s="1">
        <v>5</v>
      </c>
      <c r="U53" s="1">
        <v>2</v>
      </c>
      <c r="V53" s="23">
        <v>529.60000000000036</v>
      </c>
      <c r="X53" s="1">
        <v>2</v>
      </c>
      <c r="Y53" s="1">
        <v>2</v>
      </c>
      <c r="Z53" s="1">
        <v>1</v>
      </c>
      <c r="AA53" s="18">
        <v>400</v>
      </c>
    </row>
    <row r="54" spans="19:27" x14ac:dyDescent="0.25">
      <c r="S54" s="1">
        <v>3</v>
      </c>
      <c r="T54" s="1">
        <v>5</v>
      </c>
      <c r="U54" s="1">
        <v>2</v>
      </c>
      <c r="V54" s="23">
        <v>529.60000000000036</v>
      </c>
      <c r="X54" s="1">
        <v>3</v>
      </c>
      <c r="Y54" s="1">
        <v>2</v>
      </c>
      <c r="Z54" s="1">
        <v>1</v>
      </c>
      <c r="AA54" s="18">
        <v>300</v>
      </c>
    </row>
    <row r="55" spans="19:27" x14ac:dyDescent="0.25">
      <c r="S55" s="1">
        <v>4</v>
      </c>
      <c r="T55" s="1">
        <v>5</v>
      </c>
      <c r="U55" s="1">
        <v>2</v>
      </c>
      <c r="V55" s="23">
        <v>529.60000000000036</v>
      </c>
      <c r="X55" s="1">
        <v>4</v>
      </c>
      <c r="Y55" s="1">
        <v>2</v>
      </c>
      <c r="Z55" s="1">
        <v>1</v>
      </c>
      <c r="AA55" s="18">
        <v>600</v>
      </c>
    </row>
    <row r="56" spans="19:27" x14ac:dyDescent="0.25">
      <c r="S56" s="1">
        <v>1</v>
      </c>
      <c r="T56" s="1">
        <v>6</v>
      </c>
      <c r="U56" s="1">
        <v>2</v>
      </c>
      <c r="V56" s="23">
        <v>698.39999999999964</v>
      </c>
      <c r="X56" s="1">
        <v>1</v>
      </c>
      <c r="Y56" s="1">
        <v>2</v>
      </c>
      <c r="Z56" s="1">
        <v>2</v>
      </c>
      <c r="AA56" s="18">
        <v>400</v>
      </c>
    </row>
    <row r="57" spans="19:27" x14ac:dyDescent="0.25">
      <c r="S57" s="1">
        <v>2</v>
      </c>
      <c r="T57" s="1">
        <v>6</v>
      </c>
      <c r="U57" s="1">
        <v>2</v>
      </c>
      <c r="V57" s="23">
        <v>698.39999999999964</v>
      </c>
      <c r="X57" s="1">
        <v>2</v>
      </c>
      <c r="Y57" s="1">
        <v>2</v>
      </c>
      <c r="Z57" s="1">
        <v>2</v>
      </c>
      <c r="AA57" s="18">
        <v>600</v>
      </c>
    </row>
    <row r="58" spans="19:27" x14ac:dyDescent="0.25">
      <c r="S58" s="1">
        <v>3</v>
      </c>
      <c r="T58" s="1">
        <v>6</v>
      </c>
      <c r="U58" s="1">
        <v>2</v>
      </c>
      <c r="V58" s="23">
        <v>698.39999999999964</v>
      </c>
      <c r="X58" s="1">
        <v>3</v>
      </c>
      <c r="Y58" s="1">
        <v>2</v>
      </c>
      <c r="Z58" s="1">
        <v>2</v>
      </c>
      <c r="AA58" s="18">
        <v>900</v>
      </c>
    </row>
    <row r="59" spans="19:27" x14ac:dyDescent="0.25">
      <c r="S59" s="1">
        <v>4</v>
      </c>
      <c r="T59" s="1">
        <v>6</v>
      </c>
      <c r="U59" s="1">
        <v>2</v>
      </c>
      <c r="V59" s="23">
        <v>698.39999999999964</v>
      </c>
      <c r="X59" s="1">
        <v>4</v>
      </c>
      <c r="Y59" s="1">
        <v>2</v>
      </c>
      <c r="Z59" s="1">
        <v>2</v>
      </c>
      <c r="AA59" s="18">
        <v>420</v>
      </c>
    </row>
    <row r="60" spans="19:27" x14ac:dyDescent="0.25">
      <c r="S60" s="1">
        <v>1</v>
      </c>
      <c r="T60" s="1">
        <v>7</v>
      </c>
      <c r="U60" s="1">
        <v>2</v>
      </c>
      <c r="V60" s="23">
        <v>559</v>
      </c>
      <c r="X60" s="1">
        <v>1</v>
      </c>
      <c r="Y60" s="1">
        <v>2</v>
      </c>
      <c r="Z60" s="1">
        <v>3</v>
      </c>
      <c r="AA60" s="18">
        <v>300</v>
      </c>
    </row>
    <row r="61" spans="19:27" x14ac:dyDescent="0.25">
      <c r="S61" s="1">
        <v>2</v>
      </c>
      <c r="T61" s="1">
        <v>7</v>
      </c>
      <c r="U61" s="1">
        <v>2</v>
      </c>
      <c r="V61" s="23">
        <v>559</v>
      </c>
      <c r="X61" s="1">
        <v>2</v>
      </c>
      <c r="Y61" s="1">
        <v>2</v>
      </c>
      <c r="Z61" s="1">
        <v>3</v>
      </c>
      <c r="AA61" s="18">
        <v>800</v>
      </c>
    </row>
    <row r="62" spans="19:27" x14ac:dyDescent="0.25">
      <c r="S62" s="1">
        <v>3</v>
      </c>
      <c r="T62" s="1">
        <v>7</v>
      </c>
      <c r="U62" s="1">
        <v>2</v>
      </c>
      <c r="V62" s="23">
        <v>559</v>
      </c>
      <c r="X62" s="1">
        <v>3</v>
      </c>
      <c r="Y62" s="1">
        <v>2</v>
      </c>
      <c r="Z62" s="1">
        <v>3</v>
      </c>
      <c r="AA62" s="18">
        <v>1800</v>
      </c>
    </row>
    <row r="63" spans="19:27" x14ac:dyDescent="0.25">
      <c r="S63" s="1">
        <v>4</v>
      </c>
      <c r="T63" s="1">
        <v>7</v>
      </c>
      <c r="U63" s="1">
        <v>2</v>
      </c>
      <c r="V63" s="23">
        <v>559</v>
      </c>
      <c r="X63" s="1">
        <v>4</v>
      </c>
      <c r="Y63" s="1">
        <v>2</v>
      </c>
      <c r="Z63" s="1">
        <v>3</v>
      </c>
      <c r="AA63" s="18">
        <v>600</v>
      </c>
    </row>
    <row r="64" spans="19:27" x14ac:dyDescent="0.25">
      <c r="S64" s="1">
        <v>1</v>
      </c>
      <c r="T64" s="1">
        <v>8</v>
      </c>
      <c r="U64" s="1">
        <v>2</v>
      </c>
      <c r="V64" s="23">
        <v>509.85000000000042</v>
      </c>
      <c r="X64" s="1">
        <v>1</v>
      </c>
      <c r="Y64" s="1">
        <v>2</v>
      </c>
      <c r="Z64" s="1">
        <v>4</v>
      </c>
      <c r="AA64" s="18">
        <v>250</v>
      </c>
    </row>
    <row r="65" spans="19:27" x14ac:dyDescent="0.25">
      <c r="S65" s="1">
        <v>2</v>
      </c>
      <c r="T65" s="1">
        <v>8</v>
      </c>
      <c r="U65" s="1">
        <v>2</v>
      </c>
      <c r="V65" s="23">
        <v>509.85000000000042</v>
      </c>
      <c r="X65" s="1">
        <v>2</v>
      </c>
      <c r="Y65" s="1">
        <v>2</v>
      </c>
      <c r="Z65" s="1">
        <v>4</v>
      </c>
      <c r="AA65" s="18">
        <v>600</v>
      </c>
    </row>
    <row r="66" spans="19:27" x14ac:dyDescent="0.25">
      <c r="S66" s="1">
        <v>3</v>
      </c>
      <c r="T66" s="1">
        <v>8</v>
      </c>
      <c r="U66" s="1">
        <v>2</v>
      </c>
      <c r="V66" s="23">
        <v>509.85000000000042</v>
      </c>
      <c r="X66" s="1">
        <v>3</v>
      </c>
      <c r="Y66" s="1">
        <v>2</v>
      </c>
      <c r="Z66" s="1">
        <v>4</v>
      </c>
      <c r="AA66" s="18">
        <v>1500</v>
      </c>
    </row>
    <row r="67" spans="19:27" x14ac:dyDescent="0.25">
      <c r="S67" s="1">
        <v>4</v>
      </c>
      <c r="T67" s="1">
        <v>8</v>
      </c>
      <c r="U67" s="1">
        <v>2</v>
      </c>
      <c r="V67" s="23">
        <v>509.85000000000042</v>
      </c>
      <c r="X67" s="1">
        <v>4</v>
      </c>
      <c r="Y67" s="1">
        <v>2</v>
      </c>
      <c r="Z67" s="1">
        <v>4</v>
      </c>
      <c r="AA67" s="18">
        <v>740</v>
      </c>
    </row>
    <row r="68" spans="19:27" x14ac:dyDescent="0.25">
      <c r="X68" s="1">
        <v>1</v>
      </c>
      <c r="Y68" s="1">
        <v>2</v>
      </c>
      <c r="Z68" s="1">
        <v>5</v>
      </c>
      <c r="AA68" s="18">
        <v>300</v>
      </c>
    </row>
    <row r="69" spans="19:27" x14ac:dyDescent="0.25">
      <c r="X69" s="1">
        <v>2</v>
      </c>
      <c r="Y69" s="1">
        <v>2</v>
      </c>
      <c r="Z69" s="1">
        <v>5</v>
      </c>
      <c r="AA69" s="18">
        <v>400</v>
      </c>
    </row>
    <row r="70" spans="19:27" x14ac:dyDescent="0.25">
      <c r="X70" s="1">
        <v>3</v>
      </c>
      <c r="Y70" s="1">
        <v>2</v>
      </c>
      <c r="Z70" s="1">
        <v>5</v>
      </c>
      <c r="AA70" s="18">
        <v>600</v>
      </c>
    </row>
    <row r="71" spans="19:27" x14ac:dyDescent="0.25">
      <c r="X71" s="1">
        <v>4</v>
      </c>
      <c r="Y71" s="1">
        <v>2</v>
      </c>
      <c r="Z71" s="1">
        <v>5</v>
      </c>
      <c r="AA71" s="18">
        <v>1400</v>
      </c>
    </row>
    <row r="72" spans="19:27" x14ac:dyDescent="0.25">
      <c r="X72" s="1">
        <v>1</v>
      </c>
      <c r="Y72" s="1">
        <v>2</v>
      </c>
      <c r="Z72" s="1">
        <v>6</v>
      </c>
      <c r="AA72" s="18">
        <v>400</v>
      </c>
    </row>
    <row r="73" spans="19:27" x14ac:dyDescent="0.25">
      <c r="X73" s="1">
        <v>2</v>
      </c>
      <c r="Y73" s="1">
        <v>2</v>
      </c>
      <c r="Z73" s="1">
        <v>6</v>
      </c>
      <c r="AA73" s="18">
        <v>1400</v>
      </c>
    </row>
    <row r="74" spans="19:27" x14ac:dyDescent="0.25">
      <c r="X74" s="1">
        <v>3</v>
      </c>
      <c r="Y74" s="1">
        <v>2</v>
      </c>
      <c r="Z74" s="1">
        <v>6</v>
      </c>
      <c r="AA74" s="18">
        <v>1020</v>
      </c>
    </row>
    <row r="75" spans="19:27" x14ac:dyDescent="0.25">
      <c r="X75" s="1">
        <v>4</v>
      </c>
      <c r="Y75" s="1">
        <v>2</v>
      </c>
      <c r="Z75" s="1">
        <v>6</v>
      </c>
      <c r="AA75" s="18">
        <v>600</v>
      </c>
    </row>
    <row r="76" spans="19:27" x14ac:dyDescent="0.25">
      <c r="X76" s="1">
        <v>1</v>
      </c>
      <c r="Y76" s="1">
        <v>2</v>
      </c>
      <c r="Z76" s="1">
        <v>7</v>
      </c>
      <c r="AA76" s="18">
        <v>300</v>
      </c>
    </row>
    <row r="77" spans="19:27" x14ac:dyDescent="0.25">
      <c r="X77" s="1">
        <v>2</v>
      </c>
      <c r="Y77" s="1">
        <v>2</v>
      </c>
      <c r="Z77" s="1">
        <v>7</v>
      </c>
      <c r="AA77" s="18">
        <v>600</v>
      </c>
    </row>
    <row r="78" spans="19:27" x14ac:dyDescent="0.25">
      <c r="X78" s="1">
        <v>3</v>
      </c>
      <c r="Y78" s="1">
        <v>2</v>
      </c>
      <c r="Z78" s="1">
        <v>7</v>
      </c>
      <c r="AA78" s="18">
        <v>1800</v>
      </c>
    </row>
    <row r="79" spans="19:27" x14ac:dyDescent="0.25">
      <c r="X79" s="1">
        <v>4</v>
      </c>
      <c r="Y79" s="1">
        <v>2</v>
      </c>
      <c r="Z79" s="1">
        <v>7</v>
      </c>
      <c r="AA79" s="18">
        <v>260</v>
      </c>
    </row>
    <row r="80" spans="19:27" x14ac:dyDescent="0.25">
      <c r="X80" s="1">
        <v>1</v>
      </c>
      <c r="Y80" s="1">
        <v>2</v>
      </c>
      <c r="Z80" s="1">
        <v>8</v>
      </c>
      <c r="AA80" s="18">
        <v>1000</v>
      </c>
    </row>
    <row r="81" spans="24:27" x14ac:dyDescent="0.25">
      <c r="X81" s="1">
        <v>2</v>
      </c>
      <c r="Y81" s="1">
        <v>2</v>
      </c>
      <c r="Z81" s="1">
        <v>8</v>
      </c>
      <c r="AA81" s="18">
        <v>600</v>
      </c>
    </row>
    <row r="82" spans="24:27" x14ac:dyDescent="0.25">
      <c r="X82" s="1">
        <v>3</v>
      </c>
      <c r="Y82" s="1">
        <v>2</v>
      </c>
      <c r="Z82" s="1">
        <v>8</v>
      </c>
      <c r="AA82" s="18">
        <v>900</v>
      </c>
    </row>
    <row r="83" spans="24:27" x14ac:dyDescent="0.25">
      <c r="X83" s="1">
        <v>4</v>
      </c>
      <c r="Y83" s="1">
        <v>2</v>
      </c>
      <c r="Z83" s="1">
        <v>8</v>
      </c>
      <c r="AA83" s="18">
        <v>800</v>
      </c>
    </row>
    <row r="84" spans="24:27" x14ac:dyDescent="0.25">
      <c r="X84" s="1">
        <v>1</v>
      </c>
      <c r="Y84" s="1">
        <v>2</v>
      </c>
      <c r="Z84" s="1">
        <v>9</v>
      </c>
      <c r="AA84" s="18">
        <v>200</v>
      </c>
    </row>
    <row r="85" spans="24:27" x14ac:dyDescent="0.25">
      <c r="X85" s="1">
        <v>2</v>
      </c>
      <c r="Y85" s="1">
        <v>2</v>
      </c>
      <c r="Z85" s="1">
        <v>9</v>
      </c>
      <c r="AA85" s="18">
        <v>400</v>
      </c>
    </row>
    <row r="86" spans="24:27" x14ac:dyDescent="0.25">
      <c r="X86" s="1">
        <v>3</v>
      </c>
      <c r="Y86" s="1">
        <v>2</v>
      </c>
      <c r="Z86" s="1">
        <v>9</v>
      </c>
      <c r="AA86" s="18">
        <v>900</v>
      </c>
    </row>
    <row r="87" spans="24:27" x14ac:dyDescent="0.25">
      <c r="X87" s="1">
        <v>4</v>
      </c>
      <c r="Y87" s="1">
        <v>2</v>
      </c>
      <c r="Z87" s="1">
        <v>9</v>
      </c>
      <c r="AA87" s="18">
        <v>500</v>
      </c>
    </row>
    <row r="88" spans="24:27" x14ac:dyDescent="0.25">
      <c r="X88" s="1">
        <v>1</v>
      </c>
      <c r="Y88" s="1">
        <v>2</v>
      </c>
      <c r="Z88" s="1">
        <v>10</v>
      </c>
      <c r="AA88" s="18">
        <v>490</v>
      </c>
    </row>
    <row r="89" spans="24:27" x14ac:dyDescent="0.25">
      <c r="X89" s="1">
        <v>2</v>
      </c>
      <c r="Y89" s="1">
        <v>2</v>
      </c>
      <c r="Z89" s="1">
        <v>10</v>
      </c>
      <c r="AA89" s="18">
        <v>540</v>
      </c>
    </row>
    <row r="90" spans="24:27" x14ac:dyDescent="0.25">
      <c r="X90" s="1">
        <v>3</v>
      </c>
      <c r="Y90" s="1">
        <v>2</v>
      </c>
      <c r="Z90" s="1">
        <v>10</v>
      </c>
      <c r="AA90" s="18">
        <v>1500</v>
      </c>
    </row>
    <row r="91" spans="24:27" x14ac:dyDescent="0.25">
      <c r="X91" s="1">
        <v>4</v>
      </c>
      <c r="Y91" s="1">
        <v>2</v>
      </c>
      <c r="Z91" s="1">
        <v>10</v>
      </c>
      <c r="AA91" s="18">
        <v>620</v>
      </c>
    </row>
    <row r="92" spans="24:27" x14ac:dyDescent="0.25">
      <c r="X92" s="1">
        <v>1</v>
      </c>
      <c r="Y92" s="1">
        <v>2</v>
      </c>
      <c r="Z92" s="1">
        <v>11</v>
      </c>
      <c r="AA92" s="18">
        <v>370</v>
      </c>
    </row>
    <row r="93" spans="24:27" x14ac:dyDescent="0.25">
      <c r="X93" s="1">
        <v>2</v>
      </c>
      <c r="Y93" s="1">
        <v>2</v>
      </c>
      <c r="Z93" s="1">
        <v>11</v>
      </c>
      <c r="AA93" s="18">
        <v>340</v>
      </c>
    </row>
    <row r="94" spans="24:27" x14ac:dyDescent="0.25">
      <c r="X94" s="1">
        <v>3</v>
      </c>
      <c r="Y94" s="1">
        <v>2</v>
      </c>
      <c r="Z94" s="1">
        <v>11</v>
      </c>
      <c r="AA94" s="18">
        <v>1410</v>
      </c>
    </row>
    <row r="95" spans="24:27" x14ac:dyDescent="0.25">
      <c r="X95" s="1">
        <v>4</v>
      </c>
      <c r="Y95" s="1">
        <v>2</v>
      </c>
      <c r="Z95" s="1">
        <v>11</v>
      </c>
      <c r="AA95" s="18">
        <v>600</v>
      </c>
    </row>
    <row r="96" spans="24:27" x14ac:dyDescent="0.25">
      <c r="X96" s="1">
        <v>1</v>
      </c>
      <c r="Y96" s="1">
        <v>2</v>
      </c>
      <c r="Z96" s="1">
        <v>12</v>
      </c>
      <c r="AA96" s="18">
        <v>300</v>
      </c>
    </row>
    <row r="97" spans="24:27" x14ac:dyDescent="0.25">
      <c r="X97" s="1">
        <v>2</v>
      </c>
      <c r="Y97" s="1">
        <v>2</v>
      </c>
      <c r="Z97" s="1">
        <v>12</v>
      </c>
      <c r="AA97" s="18">
        <v>440</v>
      </c>
    </row>
    <row r="98" spans="24:27" x14ac:dyDescent="0.25">
      <c r="X98" s="1">
        <v>3</v>
      </c>
      <c r="Y98" s="1">
        <v>2</v>
      </c>
      <c r="Z98" s="1">
        <v>12</v>
      </c>
      <c r="AA98" s="18">
        <v>1500</v>
      </c>
    </row>
    <row r="99" spans="24:27" x14ac:dyDescent="0.25">
      <c r="X99" s="1">
        <v>4</v>
      </c>
      <c r="Y99" s="1">
        <v>2</v>
      </c>
      <c r="Z99" s="1">
        <v>12</v>
      </c>
      <c r="AA99" s="18">
        <v>200</v>
      </c>
    </row>
    <row r="100" spans="24:27" x14ac:dyDescent="0.25">
      <c r="X100" s="1">
        <v>1</v>
      </c>
      <c r="Y100" s="1">
        <v>3</v>
      </c>
      <c r="Z100" s="1">
        <v>1</v>
      </c>
      <c r="AA100" s="18">
        <v>1400</v>
      </c>
    </row>
    <row r="101" spans="24:27" x14ac:dyDescent="0.25">
      <c r="X101" s="1">
        <v>2</v>
      </c>
      <c r="Y101" s="1">
        <v>3</v>
      </c>
      <c r="Z101" s="1">
        <v>1</v>
      </c>
      <c r="AA101" s="18">
        <v>0</v>
      </c>
    </row>
    <row r="102" spans="24:27" x14ac:dyDescent="0.25">
      <c r="X102" s="1">
        <v>3</v>
      </c>
      <c r="Y102" s="1">
        <v>3</v>
      </c>
      <c r="Z102" s="1">
        <v>1</v>
      </c>
      <c r="AA102" s="18">
        <v>200</v>
      </c>
    </row>
    <row r="103" spans="24:27" x14ac:dyDescent="0.25">
      <c r="X103" s="1">
        <v>4</v>
      </c>
      <c r="Y103" s="1">
        <v>3</v>
      </c>
      <c r="Z103" s="1">
        <v>1</v>
      </c>
      <c r="AA103" s="18">
        <v>300</v>
      </c>
    </row>
    <row r="104" spans="24:27" x14ac:dyDescent="0.25">
      <c r="X104" s="1">
        <v>1</v>
      </c>
      <c r="Y104" s="1">
        <v>3</v>
      </c>
      <c r="Z104" s="1">
        <v>2</v>
      </c>
      <c r="AA104" s="18">
        <v>800</v>
      </c>
    </row>
    <row r="105" spans="24:27" x14ac:dyDescent="0.25">
      <c r="X105" s="1">
        <v>2</v>
      </c>
      <c r="Y105" s="1">
        <v>3</v>
      </c>
      <c r="Z105" s="1">
        <v>2</v>
      </c>
      <c r="AA105" s="18">
        <v>0</v>
      </c>
    </row>
    <row r="106" spans="24:27" x14ac:dyDescent="0.25">
      <c r="X106" s="1">
        <v>3</v>
      </c>
      <c r="Y106" s="1">
        <v>3</v>
      </c>
      <c r="Z106" s="1">
        <v>2</v>
      </c>
      <c r="AA106" s="18">
        <v>600</v>
      </c>
    </row>
    <row r="107" spans="24:27" x14ac:dyDescent="0.25">
      <c r="X107" s="1">
        <v>4</v>
      </c>
      <c r="Y107" s="1">
        <v>3</v>
      </c>
      <c r="Z107" s="1">
        <v>2</v>
      </c>
      <c r="AA107" s="18">
        <v>210</v>
      </c>
    </row>
    <row r="108" spans="24:27" x14ac:dyDescent="0.25">
      <c r="X108" s="1">
        <v>1</v>
      </c>
      <c r="Y108" s="1">
        <v>3</v>
      </c>
      <c r="Z108" s="1">
        <v>3</v>
      </c>
      <c r="AA108" s="18">
        <v>600</v>
      </c>
    </row>
    <row r="109" spans="24:27" x14ac:dyDescent="0.25">
      <c r="X109" s="1">
        <v>2</v>
      </c>
      <c r="Y109" s="1">
        <v>3</v>
      </c>
      <c r="Z109" s="1">
        <v>3</v>
      </c>
      <c r="AA109" s="18">
        <v>0</v>
      </c>
    </row>
    <row r="110" spans="24:27" x14ac:dyDescent="0.25">
      <c r="X110" s="1">
        <v>3</v>
      </c>
      <c r="Y110" s="1">
        <v>3</v>
      </c>
      <c r="Z110" s="1">
        <v>3</v>
      </c>
      <c r="AA110" s="18">
        <v>1200</v>
      </c>
    </row>
    <row r="111" spans="24:27" x14ac:dyDescent="0.25">
      <c r="X111" s="1">
        <v>4</v>
      </c>
      <c r="Y111" s="1">
        <v>3</v>
      </c>
      <c r="Z111" s="1">
        <v>3</v>
      </c>
      <c r="AA111" s="18">
        <v>300</v>
      </c>
    </row>
    <row r="112" spans="24:27" x14ac:dyDescent="0.25">
      <c r="X112" s="1">
        <v>1</v>
      </c>
      <c r="Y112" s="1">
        <v>3</v>
      </c>
      <c r="Z112" s="1">
        <v>4</v>
      </c>
      <c r="AA112" s="18">
        <v>500</v>
      </c>
    </row>
    <row r="113" spans="24:27" x14ac:dyDescent="0.25">
      <c r="X113" s="1">
        <v>2</v>
      </c>
      <c r="Y113" s="1">
        <v>3</v>
      </c>
      <c r="Z113" s="1">
        <v>4</v>
      </c>
      <c r="AA113" s="18">
        <v>0</v>
      </c>
    </row>
    <row r="114" spans="24:27" x14ac:dyDescent="0.25">
      <c r="X114" s="1">
        <v>3</v>
      </c>
      <c r="Y114" s="1">
        <v>3</v>
      </c>
      <c r="Z114" s="1">
        <v>4</v>
      </c>
      <c r="AA114" s="18">
        <v>1000</v>
      </c>
    </row>
    <row r="115" spans="24:27" x14ac:dyDescent="0.25">
      <c r="X115" s="1">
        <v>4</v>
      </c>
      <c r="Y115" s="1">
        <v>3</v>
      </c>
      <c r="Z115" s="1">
        <v>4</v>
      </c>
      <c r="AA115" s="18">
        <v>370</v>
      </c>
    </row>
    <row r="116" spans="24:27" x14ac:dyDescent="0.25">
      <c r="X116" s="1">
        <v>1</v>
      </c>
      <c r="Y116" s="1">
        <v>3</v>
      </c>
      <c r="Z116" s="1">
        <v>5</v>
      </c>
      <c r="AA116" s="18">
        <v>600</v>
      </c>
    </row>
    <row r="117" spans="24:27" x14ac:dyDescent="0.25">
      <c r="X117" s="1">
        <v>2</v>
      </c>
      <c r="Y117" s="1">
        <v>3</v>
      </c>
      <c r="Z117" s="1">
        <v>5</v>
      </c>
      <c r="AA117" s="18">
        <v>0</v>
      </c>
    </row>
    <row r="118" spans="24:27" x14ac:dyDescent="0.25">
      <c r="X118" s="1">
        <v>3</v>
      </c>
      <c r="Y118" s="1">
        <v>3</v>
      </c>
      <c r="Z118" s="1">
        <v>5</v>
      </c>
      <c r="AA118" s="18">
        <v>400</v>
      </c>
    </row>
    <row r="119" spans="24:27" x14ac:dyDescent="0.25">
      <c r="X119" s="1">
        <v>4</v>
      </c>
      <c r="Y119" s="1">
        <v>3</v>
      </c>
      <c r="Z119" s="1">
        <v>5</v>
      </c>
      <c r="AA119" s="18">
        <v>700</v>
      </c>
    </row>
    <row r="120" spans="24:27" x14ac:dyDescent="0.25">
      <c r="X120" s="1">
        <v>1</v>
      </c>
      <c r="Y120" s="1">
        <v>3</v>
      </c>
      <c r="Z120" s="1">
        <v>6</v>
      </c>
      <c r="AA120" s="18">
        <v>800</v>
      </c>
    </row>
    <row r="121" spans="24:27" x14ac:dyDescent="0.25">
      <c r="X121" s="1">
        <v>2</v>
      </c>
      <c r="Y121" s="1">
        <v>3</v>
      </c>
      <c r="Z121" s="1">
        <v>6</v>
      </c>
      <c r="AA121" s="18">
        <v>0</v>
      </c>
    </row>
    <row r="122" spans="24:27" x14ac:dyDescent="0.25">
      <c r="X122" s="1">
        <v>3</v>
      </c>
      <c r="Y122" s="1">
        <v>3</v>
      </c>
      <c r="Z122" s="1">
        <v>6</v>
      </c>
      <c r="AA122" s="18">
        <v>680</v>
      </c>
    </row>
    <row r="123" spans="24:27" x14ac:dyDescent="0.25">
      <c r="X123" s="1">
        <v>4</v>
      </c>
      <c r="Y123" s="1">
        <v>3</v>
      </c>
      <c r="Z123" s="1">
        <v>6</v>
      </c>
      <c r="AA123" s="18">
        <v>300</v>
      </c>
    </row>
    <row r="124" spans="24:27" x14ac:dyDescent="0.25">
      <c r="X124" s="1">
        <v>1</v>
      </c>
      <c r="Y124" s="1">
        <v>3</v>
      </c>
      <c r="Z124" s="1">
        <v>7</v>
      </c>
      <c r="AA124" s="18">
        <v>600</v>
      </c>
    </row>
    <row r="125" spans="24:27" x14ac:dyDescent="0.25">
      <c r="X125" s="1">
        <v>2</v>
      </c>
      <c r="Y125" s="1">
        <v>3</v>
      </c>
      <c r="Z125" s="1">
        <v>7</v>
      </c>
      <c r="AA125" s="18">
        <v>0</v>
      </c>
    </row>
    <row r="126" spans="24:27" x14ac:dyDescent="0.25">
      <c r="X126" s="1">
        <v>3</v>
      </c>
      <c r="Y126" s="1">
        <v>3</v>
      </c>
      <c r="Z126" s="1">
        <v>7</v>
      </c>
      <c r="AA126" s="18">
        <v>1200</v>
      </c>
    </row>
    <row r="127" spans="24:27" x14ac:dyDescent="0.25">
      <c r="X127" s="1">
        <v>4</v>
      </c>
      <c r="Y127" s="1">
        <v>3</v>
      </c>
      <c r="Z127" s="1">
        <v>7</v>
      </c>
      <c r="AA127" s="18">
        <v>130</v>
      </c>
    </row>
    <row r="128" spans="24:27" x14ac:dyDescent="0.25">
      <c r="X128" s="1">
        <v>1</v>
      </c>
      <c r="Y128" s="1">
        <v>3</v>
      </c>
      <c r="Z128" s="1">
        <v>8</v>
      </c>
      <c r="AA128" s="18">
        <v>2000</v>
      </c>
    </row>
    <row r="129" spans="24:27" x14ac:dyDescent="0.25">
      <c r="X129" s="1">
        <v>2</v>
      </c>
      <c r="Y129" s="1">
        <v>3</v>
      </c>
      <c r="Z129" s="1">
        <v>8</v>
      </c>
      <c r="AA129" s="18">
        <v>0</v>
      </c>
    </row>
    <row r="130" spans="24:27" x14ac:dyDescent="0.25">
      <c r="X130" s="1">
        <v>3</v>
      </c>
      <c r="Y130" s="1">
        <v>3</v>
      </c>
      <c r="Z130" s="1">
        <v>8</v>
      </c>
      <c r="AA130" s="18">
        <v>600</v>
      </c>
    </row>
    <row r="131" spans="24:27" x14ac:dyDescent="0.25">
      <c r="X131" s="1">
        <v>4</v>
      </c>
      <c r="Y131" s="1">
        <v>3</v>
      </c>
      <c r="Z131" s="1">
        <v>8</v>
      </c>
      <c r="AA131" s="18">
        <v>400</v>
      </c>
    </row>
    <row r="132" spans="24:27" x14ac:dyDescent="0.25">
      <c r="X132" s="1">
        <v>1</v>
      </c>
      <c r="Y132" s="1">
        <v>3</v>
      </c>
      <c r="Z132" s="1">
        <v>9</v>
      </c>
      <c r="AA132" s="18">
        <v>400</v>
      </c>
    </row>
    <row r="133" spans="24:27" x14ac:dyDescent="0.25">
      <c r="X133" s="1">
        <v>2</v>
      </c>
      <c r="Y133" s="1">
        <v>3</v>
      </c>
      <c r="Z133" s="1">
        <v>9</v>
      </c>
      <c r="AA133" s="18">
        <v>0</v>
      </c>
    </row>
    <row r="134" spans="24:27" x14ac:dyDescent="0.25">
      <c r="X134" s="1">
        <v>3</v>
      </c>
      <c r="Y134" s="1">
        <v>3</v>
      </c>
      <c r="Z134" s="1">
        <v>9</v>
      </c>
      <c r="AA134" s="18">
        <v>600</v>
      </c>
    </row>
    <row r="135" spans="24:27" x14ac:dyDescent="0.25">
      <c r="X135" s="1">
        <v>4</v>
      </c>
      <c r="Y135" s="1">
        <v>3</v>
      </c>
      <c r="Z135" s="1">
        <v>9</v>
      </c>
      <c r="AA135" s="18">
        <v>250</v>
      </c>
    </row>
    <row r="136" spans="24:27" x14ac:dyDescent="0.25">
      <c r="X136" s="1">
        <v>1</v>
      </c>
      <c r="Y136" s="1">
        <v>3</v>
      </c>
      <c r="Z136" s="1">
        <v>10</v>
      </c>
      <c r="AA136" s="18">
        <v>980</v>
      </c>
    </row>
    <row r="137" spans="24:27" x14ac:dyDescent="0.25">
      <c r="X137" s="1">
        <v>2</v>
      </c>
      <c r="Y137" s="1">
        <v>3</v>
      </c>
      <c r="Z137" s="1">
        <v>10</v>
      </c>
      <c r="AA137" s="18">
        <v>0</v>
      </c>
    </row>
    <row r="138" spans="24:27" x14ac:dyDescent="0.25">
      <c r="X138" s="1">
        <v>3</v>
      </c>
      <c r="Y138" s="1">
        <v>3</v>
      </c>
      <c r="Z138" s="1">
        <v>10</v>
      </c>
      <c r="AA138" s="18">
        <v>1000</v>
      </c>
    </row>
    <row r="139" spans="24:27" x14ac:dyDescent="0.25">
      <c r="X139" s="1">
        <v>4</v>
      </c>
      <c r="Y139" s="1">
        <v>3</v>
      </c>
      <c r="Z139" s="1">
        <v>10</v>
      </c>
      <c r="AA139" s="18">
        <v>310</v>
      </c>
    </row>
    <row r="140" spans="24:27" x14ac:dyDescent="0.25">
      <c r="X140" s="1">
        <v>1</v>
      </c>
      <c r="Y140" s="1">
        <v>3</v>
      </c>
      <c r="Z140" s="1">
        <v>11</v>
      </c>
      <c r="AA140" s="18">
        <v>740</v>
      </c>
    </row>
    <row r="141" spans="24:27" x14ac:dyDescent="0.25">
      <c r="X141" s="1">
        <v>2</v>
      </c>
      <c r="Y141" s="1">
        <v>3</v>
      </c>
      <c r="Z141" s="1">
        <v>11</v>
      </c>
      <c r="AA141" s="18">
        <v>0</v>
      </c>
    </row>
    <row r="142" spans="24:27" x14ac:dyDescent="0.25">
      <c r="X142" s="1">
        <v>3</v>
      </c>
      <c r="Y142" s="1">
        <v>3</v>
      </c>
      <c r="Z142" s="1">
        <v>11</v>
      </c>
      <c r="AA142" s="18">
        <v>940</v>
      </c>
    </row>
    <row r="143" spans="24:27" x14ac:dyDescent="0.25">
      <c r="X143" s="1">
        <v>4</v>
      </c>
      <c r="Y143" s="1">
        <v>3</v>
      </c>
      <c r="Z143" s="1">
        <v>11</v>
      </c>
      <c r="AA143" s="18">
        <v>300</v>
      </c>
    </row>
    <row r="144" spans="24:27" x14ac:dyDescent="0.25">
      <c r="X144" s="1">
        <v>1</v>
      </c>
      <c r="Y144" s="1">
        <v>3</v>
      </c>
      <c r="Z144" s="1">
        <v>12</v>
      </c>
      <c r="AA144" s="18">
        <v>600</v>
      </c>
    </row>
    <row r="145" spans="24:27" x14ac:dyDescent="0.25">
      <c r="X145" s="1">
        <v>2</v>
      </c>
      <c r="Y145" s="1">
        <v>3</v>
      </c>
      <c r="Z145" s="1">
        <v>12</v>
      </c>
      <c r="AA145" s="18">
        <v>0</v>
      </c>
    </row>
    <row r="146" spans="24:27" x14ac:dyDescent="0.25">
      <c r="X146" s="1">
        <v>3</v>
      </c>
      <c r="Y146" s="1">
        <v>3</v>
      </c>
      <c r="Z146" s="1">
        <v>12</v>
      </c>
      <c r="AA146" s="18">
        <v>1000</v>
      </c>
    </row>
    <row r="147" spans="24:27" x14ac:dyDescent="0.25">
      <c r="X147" s="1">
        <v>4</v>
      </c>
      <c r="Y147" s="1">
        <v>3</v>
      </c>
      <c r="Z147" s="1">
        <v>12</v>
      </c>
      <c r="AA147" s="18">
        <v>100</v>
      </c>
    </row>
    <row r="148" spans="24:27" x14ac:dyDescent="0.25">
      <c r="X148" s="1">
        <v>1</v>
      </c>
      <c r="Y148" s="1">
        <v>4</v>
      </c>
      <c r="Z148" s="1">
        <v>1</v>
      </c>
      <c r="AA148" s="18">
        <v>0</v>
      </c>
    </row>
    <row r="149" spans="24:27" x14ac:dyDescent="0.25">
      <c r="X149" s="1">
        <v>2</v>
      </c>
      <c r="Y149" s="1">
        <v>4</v>
      </c>
      <c r="Z149" s="1">
        <v>1</v>
      </c>
      <c r="AA149" s="18">
        <v>200</v>
      </c>
    </row>
    <row r="150" spans="24:27" x14ac:dyDescent="0.25">
      <c r="X150" s="1">
        <v>3</v>
      </c>
      <c r="Y150" s="1">
        <v>4</v>
      </c>
      <c r="Z150" s="1">
        <v>1</v>
      </c>
      <c r="AA150" s="18">
        <v>0</v>
      </c>
    </row>
    <row r="151" spans="24:27" x14ac:dyDescent="0.25">
      <c r="X151" s="1">
        <v>4</v>
      </c>
      <c r="Y151" s="1">
        <v>4</v>
      </c>
      <c r="Z151" s="1">
        <v>1</v>
      </c>
      <c r="AA151" s="18">
        <v>300</v>
      </c>
    </row>
    <row r="152" spans="24:27" x14ac:dyDescent="0.25">
      <c r="X152" s="1">
        <v>1</v>
      </c>
      <c r="Y152" s="1">
        <v>4</v>
      </c>
      <c r="Z152" s="1">
        <v>2</v>
      </c>
      <c r="AA152" s="18">
        <v>0</v>
      </c>
    </row>
    <row r="153" spans="24:27" x14ac:dyDescent="0.25">
      <c r="X153" s="1">
        <v>2</v>
      </c>
      <c r="Y153" s="1">
        <v>4</v>
      </c>
      <c r="Z153" s="1">
        <v>2</v>
      </c>
      <c r="AA153" s="18">
        <v>300</v>
      </c>
    </row>
    <row r="154" spans="24:27" x14ac:dyDescent="0.25">
      <c r="X154" s="1">
        <v>3</v>
      </c>
      <c r="Y154" s="1">
        <v>4</v>
      </c>
      <c r="Z154" s="1">
        <v>2</v>
      </c>
      <c r="AA154" s="18">
        <v>0</v>
      </c>
    </row>
    <row r="155" spans="24:27" x14ac:dyDescent="0.25">
      <c r="X155" s="1">
        <v>4</v>
      </c>
      <c r="Y155" s="1">
        <v>4</v>
      </c>
      <c r="Z155" s="1">
        <v>2</v>
      </c>
      <c r="AA155" s="18">
        <v>210</v>
      </c>
    </row>
    <row r="156" spans="24:27" x14ac:dyDescent="0.25">
      <c r="X156" s="1">
        <v>1</v>
      </c>
      <c r="Y156" s="1">
        <v>4</v>
      </c>
      <c r="Z156" s="1">
        <v>3</v>
      </c>
      <c r="AA156" s="18">
        <v>0</v>
      </c>
    </row>
    <row r="157" spans="24:27" x14ac:dyDescent="0.25">
      <c r="X157" s="1">
        <v>2</v>
      </c>
      <c r="Y157" s="1">
        <v>4</v>
      </c>
      <c r="Z157" s="1">
        <v>3</v>
      </c>
      <c r="AA157" s="18">
        <v>400</v>
      </c>
    </row>
    <row r="158" spans="24:27" x14ac:dyDescent="0.25">
      <c r="X158" s="1">
        <v>3</v>
      </c>
      <c r="Y158" s="1">
        <v>4</v>
      </c>
      <c r="Z158" s="1">
        <v>3</v>
      </c>
      <c r="AA158" s="18">
        <v>0</v>
      </c>
    </row>
    <row r="159" spans="24:27" x14ac:dyDescent="0.25">
      <c r="X159" s="1">
        <v>4</v>
      </c>
      <c r="Y159" s="1">
        <v>4</v>
      </c>
      <c r="Z159" s="1">
        <v>3</v>
      </c>
      <c r="AA159" s="18">
        <v>300</v>
      </c>
    </row>
    <row r="160" spans="24:27" x14ac:dyDescent="0.25">
      <c r="X160" s="1">
        <v>1</v>
      </c>
      <c r="Y160" s="1">
        <v>4</v>
      </c>
      <c r="Z160" s="1">
        <v>4</v>
      </c>
      <c r="AA160" s="18">
        <v>0</v>
      </c>
    </row>
    <row r="161" spans="24:27" x14ac:dyDescent="0.25">
      <c r="X161" s="1">
        <v>2</v>
      </c>
      <c r="Y161" s="1">
        <v>4</v>
      </c>
      <c r="Z161" s="1">
        <v>4</v>
      </c>
      <c r="AA161" s="18">
        <v>300</v>
      </c>
    </row>
    <row r="162" spans="24:27" x14ac:dyDescent="0.25">
      <c r="X162" s="1">
        <v>3</v>
      </c>
      <c r="Y162" s="1">
        <v>4</v>
      </c>
      <c r="Z162" s="1">
        <v>4</v>
      </c>
      <c r="AA162" s="18">
        <v>0</v>
      </c>
    </row>
    <row r="163" spans="24:27" x14ac:dyDescent="0.25">
      <c r="X163" s="1">
        <v>4</v>
      </c>
      <c r="Y163" s="1">
        <v>4</v>
      </c>
      <c r="Z163" s="1">
        <v>4</v>
      </c>
      <c r="AA163" s="18">
        <v>370</v>
      </c>
    </row>
    <row r="164" spans="24:27" x14ac:dyDescent="0.25">
      <c r="X164" s="1">
        <v>1</v>
      </c>
      <c r="Y164" s="1">
        <v>4</v>
      </c>
      <c r="Z164" s="1">
        <v>5</v>
      </c>
      <c r="AA164" s="18">
        <v>0</v>
      </c>
    </row>
    <row r="165" spans="24:27" x14ac:dyDescent="0.25">
      <c r="X165" s="1">
        <v>2</v>
      </c>
      <c r="Y165" s="1">
        <v>4</v>
      </c>
      <c r="Z165" s="1">
        <v>5</v>
      </c>
      <c r="AA165" s="18">
        <v>200</v>
      </c>
    </row>
    <row r="166" spans="24:27" x14ac:dyDescent="0.25">
      <c r="X166" s="1">
        <v>3</v>
      </c>
      <c r="Y166" s="1">
        <v>4</v>
      </c>
      <c r="Z166" s="1">
        <v>5</v>
      </c>
      <c r="AA166" s="18">
        <v>0</v>
      </c>
    </row>
    <row r="167" spans="24:27" x14ac:dyDescent="0.25">
      <c r="X167" s="1">
        <v>4</v>
      </c>
      <c r="Y167" s="1">
        <v>4</v>
      </c>
      <c r="Z167" s="1">
        <v>5</v>
      </c>
      <c r="AA167" s="18">
        <v>700</v>
      </c>
    </row>
    <row r="168" spans="24:27" x14ac:dyDescent="0.25">
      <c r="X168" s="1">
        <v>1</v>
      </c>
      <c r="Y168" s="1">
        <v>4</v>
      </c>
      <c r="Z168" s="1">
        <v>6</v>
      </c>
      <c r="AA168" s="18">
        <v>0</v>
      </c>
    </row>
    <row r="169" spans="24:27" x14ac:dyDescent="0.25">
      <c r="X169" s="1">
        <v>2</v>
      </c>
      <c r="Y169" s="1">
        <v>4</v>
      </c>
      <c r="Z169" s="1">
        <v>6</v>
      </c>
      <c r="AA169" s="18">
        <v>700</v>
      </c>
    </row>
    <row r="170" spans="24:27" x14ac:dyDescent="0.25">
      <c r="X170" s="1">
        <v>3</v>
      </c>
      <c r="Y170" s="1">
        <v>4</v>
      </c>
      <c r="Z170" s="1">
        <v>6</v>
      </c>
      <c r="AA170" s="18">
        <v>0</v>
      </c>
    </row>
    <row r="171" spans="24:27" x14ac:dyDescent="0.25">
      <c r="X171" s="1">
        <v>4</v>
      </c>
      <c r="Y171" s="1">
        <v>4</v>
      </c>
      <c r="Z171" s="1">
        <v>6</v>
      </c>
      <c r="AA171" s="18">
        <v>300</v>
      </c>
    </row>
    <row r="172" spans="24:27" x14ac:dyDescent="0.25">
      <c r="X172" s="1">
        <v>1</v>
      </c>
      <c r="Y172" s="1">
        <v>4</v>
      </c>
      <c r="Z172" s="1">
        <v>7</v>
      </c>
      <c r="AA172" s="18">
        <v>0</v>
      </c>
    </row>
    <row r="173" spans="24:27" x14ac:dyDescent="0.25">
      <c r="X173" s="1">
        <v>2</v>
      </c>
      <c r="Y173" s="1">
        <v>4</v>
      </c>
      <c r="Z173" s="1">
        <v>7</v>
      </c>
      <c r="AA173" s="18">
        <v>300</v>
      </c>
    </row>
    <row r="174" spans="24:27" x14ac:dyDescent="0.25">
      <c r="X174" s="1">
        <v>3</v>
      </c>
      <c r="Y174" s="1">
        <v>4</v>
      </c>
      <c r="Z174" s="1">
        <v>7</v>
      </c>
      <c r="AA174" s="18">
        <v>0</v>
      </c>
    </row>
    <row r="175" spans="24:27" x14ac:dyDescent="0.25">
      <c r="X175" s="1">
        <v>4</v>
      </c>
      <c r="Y175" s="1">
        <v>4</v>
      </c>
      <c r="Z175" s="1">
        <v>7</v>
      </c>
      <c r="AA175" s="18">
        <v>130</v>
      </c>
    </row>
    <row r="176" spans="24:27" x14ac:dyDescent="0.25">
      <c r="X176" s="1">
        <v>1</v>
      </c>
      <c r="Y176" s="1">
        <v>4</v>
      </c>
      <c r="Z176" s="1">
        <v>8</v>
      </c>
      <c r="AA176" s="18">
        <v>0</v>
      </c>
    </row>
    <row r="177" spans="24:27" x14ac:dyDescent="0.25">
      <c r="X177" s="1">
        <v>2</v>
      </c>
      <c r="Y177" s="1">
        <v>4</v>
      </c>
      <c r="Z177" s="1">
        <v>8</v>
      </c>
      <c r="AA177" s="18">
        <v>300</v>
      </c>
    </row>
    <row r="178" spans="24:27" x14ac:dyDescent="0.25">
      <c r="X178" s="1">
        <v>3</v>
      </c>
      <c r="Y178" s="1">
        <v>4</v>
      </c>
      <c r="Z178" s="1">
        <v>8</v>
      </c>
      <c r="AA178" s="18">
        <v>0</v>
      </c>
    </row>
    <row r="179" spans="24:27" x14ac:dyDescent="0.25">
      <c r="X179" s="1">
        <v>4</v>
      </c>
      <c r="Y179" s="1">
        <v>4</v>
      </c>
      <c r="Z179" s="1">
        <v>8</v>
      </c>
      <c r="AA179" s="18">
        <v>400</v>
      </c>
    </row>
    <row r="180" spans="24:27" x14ac:dyDescent="0.25">
      <c r="X180" s="1">
        <v>1</v>
      </c>
      <c r="Y180" s="1">
        <v>4</v>
      </c>
      <c r="Z180" s="1">
        <v>9</v>
      </c>
      <c r="AA180" s="18">
        <v>0</v>
      </c>
    </row>
    <row r="181" spans="24:27" x14ac:dyDescent="0.25">
      <c r="X181" s="1">
        <v>2</v>
      </c>
      <c r="Y181" s="1">
        <v>4</v>
      </c>
      <c r="Z181" s="1">
        <v>9</v>
      </c>
      <c r="AA181" s="18">
        <v>200</v>
      </c>
    </row>
    <row r="182" spans="24:27" x14ac:dyDescent="0.25">
      <c r="X182" s="1">
        <v>3</v>
      </c>
      <c r="Y182" s="1">
        <v>4</v>
      </c>
      <c r="Z182" s="1">
        <v>9</v>
      </c>
      <c r="AA182" s="18">
        <v>0</v>
      </c>
    </row>
    <row r="183" spans="24:27" x14ac:dyDescent="0.25">
      <c r="X183" s="1">
        <v>4</v>
      </c>
      <c r="Y183" s="1">
        <v>4</v>
      </c>
      <c r="Z183" s="1">
        <v>9</v>
      </c>
      <c r="AA183" s="18">
        <v>250</v>
      </c>
    </row>
    <row r="184" spans="24:27" x14ac:dyDescent="0.25">
      <c r="X184" s="1">
        <v>1</v>
      </c>
      <c r="Y184" s="1">
        <v>4</v>
      </c>
      <c r="Z184" s="1">
        <v>10</v>
      </c>
      <c r="AA184" s="18">
        <v>0</v>
      </c>
    </row>
    <row r="185" spans="24:27" x14ac:dyDescent="0.25">
      <c r="X185" s="1">
        <v>2</v>
      </c>
      <c r="Y185" s="1">
        <v>4</v>
      </c>
      <c r="Z185" s="1">
        <v>10</v>
      </c>
      <c r="AA185" s="18">
        <v>270</v>
      </c>
    </row>
    <row r="186" spans="24:27" x14ac:dyDescent="0.25">
      <c r="X186" s="1">
        <v>3</v>
      </c>
      <c r="Y186" s="1">
        <v>4</v>
      </c>
      <c r="Z186" s="1">
        <v>10</v>
      </c>
      <c r="AA186" s="18">
        <v>0</v>
      </c>
    </row>
    <row r="187" spans="24:27" x14ac:dyDescent="0.25">
      <c r="X187" s="1">
        <v>4</v>
      </c>
      <c r="Y187" s="1">
        <v>4</v>
      </c>
      <c r="Z187" s="1">
        <v>10</v>
      </c>
      <c r="AA187" s="18">
        <v>310</v>
      </c>
    </row>
    <row r="188" spans="24:27" x14ac:dyDescent="0.25">
      <c r="X188" s="1">
        <v>1</v>
      </c>
      <c r="Y188" s="1">
        <v>4</v>
      </c>
      <c r="Z188" s="1">
        <v>11</v>
      </c>
      <c r="AA188" s="18">
        <v>0</v>
      </c>
    </row>
    <row r="189" spans="24:27" x14ac:dyDescent="0.25">
      <c r="X189" s="1">
        <v>2</v>
      </c>
      <c r="Y189" s="1">
        <v>4</v>
      </c>
      <c r="Z189" s="1">
        <v>11</v>
      </c>
      <c r="AA189" s="18">
        <v>170</v>
      </c>
    </row>
    <row r="190" spans="24:27" x14ac:dyDescent="0.25">
      <c r="X190" s="1">
        <v>3</v>
      </c>
      <c r="Y190" s="1">
        <v>4</v>
      </c>
      <c r="Z190" s="1">
        <v>11</v>
      </c>
      <c r="AA190" s="18">
        <v>0</v>
      </c>
    </row>
    <row r="191" spans="24:27" x14ac:dyDescent="0.25">
      <c r="X191" s="1">
        <v>4</v>
      </c>
      <c r="Y191" s="1">
        <v>4</v>
      </c>
      <c r="Z191" s="1">
        <v>11</v>
      </c>
      <c r="AA191" s="18">
        <v>300</v>
      </c>
    </row>
    <row r="192" spans="24:27" x14ac:dyDescent="0.25">
      <c r="X192" s="1">
        <v>1</v>
      </c>
      <c r="Y192" s="1">
        <v>4</v>
      </c>
      <c r="Z192" s="1">
        <v>12</v>
      </c>
      <c r="AA192" s="18">
        <v>0</v>
      </c>
    </row>
    <row r="193" spans="24:27" x14ac:dyDescent="0.25">
      <c r="X193" s="1">
        <v>2</v>
      </c>
      <c r="Y193" s="1">
        <v>4</v>
      </c>
      <c r="Z193" s="1">
        <v>12</v>
      </c>
      <c r="AA193" s="18">
        <v>220</v>
      </c>
    </row>
    <row r="194" spans="24:27" x14ac:dyDescent="0.25">
      <c r="X194" s="1">
        <v>3</v>
      </c>
      <c r="Y194" s="1">
        <v>4</v>
      </c>
      <c r="Z194" s="1">
        <v>12</v>
      </c>
      <c r="AA194" s="18">
        <v>0</v>
      </c>
    </row>
    <row r="195" spans="24:27" x14ac:dyDescent="0.25">
      <c r="X195" s="1">
        <v>4</v>
      </c>
      <c r="Y195" s="1">
        <v>4</v>
      </c>
      <c r="Z195" s="1">
        <v>12</v>
      </c>
      <c r="AA195" s="18">
        <v>100</v>
      </c>
    </row>
    <row r="196" spans="24:27" x14ac:dyDescent="0.25">
      <c r="X196" s="1">
        <v>1</v>
      </c>
      <c r="Y196" s="1">
        <v>5</v>
      </c>
      <c r="Z196" s="1">
        <v>1</v>
      </c>
      <c r="AA196" s="18">
        <v>1400</v>
      </c>
    </row>
    <row r="197" spans="24:27" x14ac:dyDescent="0.25">
      <c r="X197" s="1">
        <v>2</v>
      </c>
      <c r="Y197" s="1">
        <v>5</v>
      </c>
      <c r="Z197" s="1">
        <v>1</v>
      </c>
      <c r="AA197" s="18">
        <v>400</v>
      </c>
    </row>
    <row r="198" spans="24:27" x14ac:dyDescent="0.25">
      <c r="X198" s="1">
        <v>3</v>
      </c>
      <c r="Y198" s="1">
        <v>5</v>
      </c>
      <c r="Z198" s="1">
        <v>1</v>
      </c>
      <c r="AA198" s="18">
        <v>150</v>
      </c>
    </row>
    <row r="199" spans="24:27" x14ac:dyDescent="0.25">
      <c r="X199" s="1">
        <v>4</v>
      </c>
      <c r="Y199" s="1">
        <v>5</v>
      </c>
      <c r="Z199" s="1">
        <v>1</v>
      </c>
      <c r="AA199" s="18">
        <v>300</v>
      </c>
    </row>
    <row r="200" spans="24:27" x14ac:dyDescent="0.25">
      <c r="X200" s="1">
        <v>1</v>
      </c>
      <c r="Y200" s="1">
        <v>5</v>
      </c>
      <c r="Z200" s="1">
        <v>2</v>
      </c>
      <c r="AA200" s="18">
        <v>800</v>
      </c>
    </row>
    <row r="201" spans="24:27" x14ac:dyDescent="0.25">
      <c r="X201" s="1">
        <v>2</v>
      </c>
      <c r="Y201" s="1">
        <v>5</v>
      </c>
      <c r="Z201" s="1">
        <v>2</v>
      </c>
      <c r="AA201" s="18">
        <v>600</v>
      </c>
    </row>
    <row r="202" spans="24:27" x14ac:dyDescent="0.25">
      <c r="X202" s="1">
        <v>3</v>
      </c>
      <c r="Y202" s="1">
        <v>5</v>
      </c>
      <c r="Z202" s="1">
        <v>2</v>
      </c>
      <c r="AA202" s="18">
        <v>450</v>
      </c>
    </row>
    <row r="203" spans="24:27" x14ac:dyDescent="0.25">
      <c r="X203" s="1">
        <v>4</v>
      </c>
      <c r="Y203" s="1">
        <v>5</v>
      </c>
      <c r="Z203" s="1">
        <v>2</v>
      </c>
      <c r="AA203" s="18">
        <v>210</v>
      </c>
    </row>
    <row r="204" spans="24:27" x14ac:dyDescent="0.25">
      <c r="X204" s="1">
        <v>1</v>
      </c>
      <c r="Y204" s="1">
        <v>5</v>
      </c>
      <c r="Z204" s="1">
        <v>3</v>
      </c>
      <c r="AA204" s="18">
        <v>600</v>
      </c>
    </row>
    <row r="205" spans="24:27" x14ac:dyDescent="0.25">
      <c r="X205" s="1">
        <v>2</v>
      </c>
      <c r="Y205" s="1">
        <v>5</v>
      </c>
      <c r="Z205" s="1">
        <v>3</v>
      </c>
      <c r="AA205" s="18">
        <v>800</v>
      </c>
    </row>
    <row r="206" spans="24:27" x14ac:dyDescent="0.25">
      <c r="X206" s="1">
        <v>3</v>
      </c>
      <c r="Y206" s="1">
        <v>5</v>
      </c>
      <c r="Z206" s="1">
        <v>3</v>
      </c>
      <c r="AA206" s="18">
        <v>900</v>
      </c>
    </row>
    <row r="207" spans="24:27" x14ac:dyDescent="0.25">
      <c r="X207" s="1">
        <v>4</v>
      </c>
      <c r="Y207" s="1">
        <v>5</v>
      </c>
      <c r="Z207" s="1">
        <v>3</v>
      </c>
      <c r="AA207" s="18">
        <v>300</v>
      </c>
    </row>
    <row r="208" spans="24:27" x14ac:dyDescent="0.25">
      <c r="X208" s="1">
        <v>1</v>
      </c>
      <c r="Y208" s="1">
        <v>5</v>
      </c>
      <c r="Z208" s="1">
        <v>4</v>
      </c>
      <c r="AA208" s="18">
        <v>500</v>
      </c>
    </row>
    <row r="209" spans="24:27" x14ac:dyDescent="0.25">
      <c r="X209" s="1">
        <v>2</v>
      </c>
      <c r="Y209" s="1">
        <v>5</v>
      </c>
      <c r="Z209" s="1">
        <v>4</v>
      </c>
      <c r="AA209" s="18">
        <v>600</v>
      </c>
    </row>
    <row r="210" spans="24:27" x14ac:dyDescent="0.25">
      <c r="X210" s="1">
        <v>3</v>
      </c>
      <c r="Y210" s="1">
        <v>5</v>
      </c>
      <c r="Z210" s="1">
        <v>4</v>
      </c>
      <c r="AA210" s="18">
        <v>750</v>
      </c>
    </row>
    <row r="211" spans="24:27" x14ac:dyDescent="0.25">
      <c r="X211" s="1">
        <v>4</v>
      </c>
      <c r="Y211" s="1">
        <v>5</v>
      </c>
      <c r="Z211" s="1">
        <v>4</v>
      </c>
      <c r="AA211" s="18">
        <v>370</v>
      </c>
    </row>
    <row r="212" spans="24:27" x14ac:dyDescent="0.25">
      <c r="X212" s="1">
        <v>1</v>
      </c>
      <c r="Y212" s="1">
        <v>5</v>
      </c>
      <c r="Z212" s="1">
        <v>5</v>
      </c>
      <c r="AA212" s="18">
        <v>600</v>
      </c>
    </row>
    <row r="213" spans="24:27" x14ac:dyDescent="0.25">
      <c r="X213" s="1">
        <v>2</v>
      </c>
      <c r="Y213" s="1">
        <v>5</v>
      </c>
      <c r="Z213" s="1">
        <v>5</v>
      </c>
      <c r="AA213" s="18">
        <v>400</v>
      </c>
    </row>
    <row r="214" spans="24:27" x14ac:dyDescent="0.25">
      <c r="X214" s="1">
        <v>3</v>
      </c>
      <c r="Y214" s="1">
        <v>5</v>
      </c>
      <c r="Z214" s="1">
        <v>5</v>
      </c>
      <c r="AA214" s="18">
        <v>300</v>
      </c>
    </row>
    <row r="215" spans="24:27" x14ac:dyDescent="0.25">
      <c r="X215" s="1">
        <v>4</v>
      </c>
      <c r="Y215" s="1">
        <v>5</v>
      </c>
      <c r="Z215" s="1">
        <v>5</v>
      </c>
      <c r="AA215" s="18">
        <v>700</v>
      </c>
    </row>
    <row r="216" spans="24:27" x14ac:dyDescent="0.25">
      <c r="X216" s="1">
        <v>1</v>
      </c>
      <c r="Y216" s="1">
        <v>5</v>
      </c>
      <c r="Z216" s="1">
        <v>6</v>
      </c>
      <c r="AA216" s="18">
        <v>800</v>
      </c>
    </row>
    <row r="217" spans="24:27" x14ac:dyDescent="0.25">
      <c r="X217" s="1">
        <v>2</v>
      </c>
      <c r="Y217" s="1">
        <v>5</v>
      </c>
      <c r="Z217" s="1">
        <v>6</v>
      </c>
      <c r="AA217" s="18">
        <v>1400</v>
      </c>
    </row>
    <row r="218" spans="24:27" x14ac:dyDescent="0.25">
      <c r="X218" s="1">
        <v>3</v>
      </c>
      <c r="Y218" s="1">
        <v>5</v>
      </c>
      <c r="Z218" s="1">
        <v>6</v>
      </c>
      <c r="AA218" s="18">
        <v>510</v>
      </c>
    </row>
    <row r="219" spans="24:27" x14ac:dyDescent="0.25">
      <c r="X219" s="1">
        <v>4</v>
      </c>
      <c r="Y219" s="1">
        <v>5</v>
      </c>
      <c r="Z219" s="1">
        <v>6</v>
      </c>
      <c r="AA219" s="18">
        <v>300</v>
      </c>
    </row>
    <row r="220" spans="24:27" x14ac:dyDescent="0.25">
      <c r="X220" s="1">
        <v>1</v>
      </c>
      <c r="Y220" s="1">
        <v>5</v>
      </c>
      <c r="Z220" s="1">
        <v>7</v>
      </c>
      <c r="AA220" s="18">
        <v>600</v>
      </c>
    </row>
    <row r="221" spans="24:27" x14ac:dyDescent="0.25">
      <c r="X221" s="1">
        <v>2</v>
      </c>
      <c r="Y221" s="1">
        <v>5</v>
      </c>
      <c r="Z221" s="1">
        <v>7</v>
      </c>
      <c r="AA221" s="18">
        <v>600</v>
      </c>
    </row>
    <row r="222" spans="24:27" x14ac:dyDescent="0.25">
      <c r="X222" s="1">
        <v>3</v>
      </c>
      <c r="Y222" s="1">
        <v>5</v>
      </c>
      <c r="Z222" s="1">
        <v>7</v>
      </c>
      <c r="AA222" s="18">
        <v>900</v>
      </c>
    </row>
    <row r="223" spans="24:27" x14ac:dyDescent="0.25">
      <c r="X223" s="1">
        <v>4</v>
      </c>
      <c r="Y223" s="1">
        <v>5</v>
      </c>
      <c r="Z223" s="1">
        <v>7</v>
      </c>
      <c r="AA223" s="18">
        <v>130</v>
      </c>
    </row>
    <row r="224" spans="24:27" x14ac:dyDescent="0.25">
      <c r="X224" s="1">
        <v>1</v>
      </c>
      <c r="Y224" s="1">
        <v>5</v>
      </c>
      <c r="Z224" s="1">
        <v>8</v>
      </c>
      <c r="AA224" s="18">
        <v>2000</v>
      </c>
    </row>
    <row r="225" spans="24:27" x14ac:dyDescent="0.25">
      <c r="X225" s="1">
        <v>2</v>
      </c>
      <c r="Y225" s="1">
        <v>5</v>
      </c>
      <c r="Z225" s="1">
        <v>8</v>
      </c>
      <c r="AA225" s="18">
        <v>600</v>
      </c>
    </row>
    <row r="226" spans="24:27" x14ac:dyDescent="0.25">
      <c r="X226" s="1">
        <v>3</v>
      </c>
      <c r="Y226" s="1">
        <v>5</v>
      </c>
      <c r="Z226" s="1">
        <v>8</v>
      </c>
      <c r="AA226" s="18">
        <v>450</v>
      </c>
    </row>
    <row r="227" spans="24:27" x14ac:dyDescent="0.25">
      <c r="X227" s="1">
        <v>4</v>
      </c>
      <c r="Y227" s="1">
        <v>5</v>
      </c>
      <c r="Z227" s="1">
        <v>8</v>
      </c>
      <c r="AA227" s="18">
        <v>400</v>
      </c>
    </row>
    <row r="228" spans="24:27" x14ac:dyDescent="0.25">
      <c r="X228" s="1">
        <v>1</v>
      </c>
      <c r="Y228" s="1">
        <v>5</v>
      </c>
      <c r="Z228" s="1">
        <v>9</v>
      </c>
      <c r="AA228" s="18">
        <v>400</v>
      </c>
    </row>
    <row r="229" spans="24:27" x14ac:dyDescent="0.25">
      <c r="X229" s="1">
        <v>2</v>
      </c>
      <c r="Y229" s="1">
        <v>5</v>
      </c>
      <c r="Z229" s="1">
        <v>9</v>
      </c>
      <c r="AA229" s="18">
        <v>400</v>
      </c>
    </row>
    <row r="230" spans="24:27" x14ac:dyDescent="0.25">
      <c r="X230" s="1">
        <v>3</v>
      </c>
      <c r="Y230" s="1">
        <v>5</v>
      </c>
      <c r="Z230" s="1">
        <v>9</v>
      </c>
      <c r="AA230" s="18">
        <v>450</v>
      </c>
    </row>
    <row r="231" spans="24:27" x14ac:dyDescent="0.25">
      <c r="X231" s="1">
        <v>4</v>
      </c>
      <c r="Y231" s="1">
        <v>5</v>
      </c>
      <c r="Z231" s="1">
        <v>9</v>
      </c>
      <c r="AA231" s="18">
        <v>250</v>
      </c>
    </row>
    <row r="232" spans="24:27" x14ac:dyDescent="0.25">
      <c r="X232" s="1">
        <v>1</v>
      </c>
      <c r="Y232" s="1">
        <v>5</v>
      </c>
      <c r="Z232" s="1">
        <v>10</v>
      </c>
      <c r="AA232" s="18">
        <v>980</v>
      </c>
    </row>
    <row r="233" spans="24:27" x14ac:dyDescent="0.25">
      <c r="X233" s="1">
        <v>2</v>
      </c>
      <c r="Y233" s="1">
        <v>5</v>
      </c>
      <c r="Z233" s="1">
        <v>10</v>
      </c>
      <c r="AA233" s="18">
        <v>540</v>
      </c>
    </row>
    <row r="234" spans="24:27" x14ac:dyDescent="0.25">
      <c r="X234" s="1">
        <v>3</v>
      </c>
      <c r="Y234" s="1">
        <v>5</v>
      </c>
      <c r="Z234" s="1">
        <v>10</v>
      </c>
      <c r="AA234" s="18">
        <v>750</v>
      </c>
    </row>
    <row r="235" spans="24:27" x14ac:dyDescent="0.25">
      <c r="X235" s="1">
        <v>4</v>
      </c>
      <c r="Y235" s="1">
        <v>5</v>
      </c>
      <c r="Z235" s="1">
        <v>10</v>
      </c>
      <c r="AA235" s="18">
        <v>310</v>
      </c>
    </row>
    <row r="236" spans="24:27" x14ac:dyDescent="0.25">
      <c r="X236" s="1">
        <v>1</v>
      </c>
      <c r="Y236" s="1">
        <v>5</v>
      </c>
      <c r="Z236" s="1">
        <v>11</v>
      </c>
      <c r="AA236" s="18">
        <v>740</v>
      </c>
    </row>
    <row r="237" spans="24:27" x14ac:dyDescent="0.25">
      <c r="X237" s="1">
        <v>2</v>
      </c>
      <c r="Y237" s="1">
        <v>5</v>
      </c>
      <c r="Z237" s="1">
        <v>11</v>
      </c>
      <c r="AA237" s="18">
        <v>340</v>
      </c>
    </row>
    <row r="238" spans="24:27" x14ac:dyDescent="0.25">
      <c r="X238" s="1">
        <v>3</v>
      </c>
      <c r="Y238" s="1">
        <v>5</v>
      </c>
      <c r="Z238" s="1">
        <v>11</v>
      </c>
      <c r="AA238" s="18">
        <v>705</v>
      </c>
    </row>
    <row r="239" spans="24:27" x14ac:dyDescent="0.25">
      <c r="X239" s="1">
        <v>4</v>
      </c>
      <c r="Y239" s="1">
        <v>5</v>
      </c>
      <c r="Z239" s="1">
        <v>11</v>
      </c>
      <c r="AA239" s="18">
        <v>300</v>
      </c>
    </row>
    <row r="240" spans="24:27" x14ac:dyDescent="0.25">
      <c r="X240" s="1">
        <v>1</v>
      </c>
      <c r="Y240" s="1">
        <v>5</v>
      </c>
      <c r="Z240" s="1">
        <v>12</v>
      </c>
      <c r="AA240" s="18">
        <v>600</v>
      </c>
    </row>
    <row r="241" spans="24:27" x14ac:dyDescent="0.25">
      <c r="X241" s="1">
        <v>2</v>
      </c>
      <c r="Y241" s="1">
        <v>5</v>
      </c>
      <c r="Z241" s="1">
        <v>12</v>
      </c>
      <c r="AA241" s="18">
        <v>440</v>
      </c>
    </row>
    <row r="242" spans="24:27" x14ac:dyDescent="0.25">
      <c r="X242" s="1">
        <v>3</v>
      </c>
      <c r="Y242" s="1">
        <v>5</v>
      </c>
      <c r="Z242" s="1">
        <v>12</v>
      </c>
      <c r="AA242" s="18">
        <v>750</v>
      </c>
    </row>
    <row r="243" spans="24:27" x14ac:dyDescent="0.25">
      <c r="X243" s="1">
        <v>4</v>
      </c>
      <c r="Y243" s="1">
        <v>5</v>
      </c>
      <c r="Z243" s="1">
        <v>12</v>
      </c>
      <c r="AA243" s="18">
        <v>100</v>
      </c>
    </row>
    <row r="244" spans="24:27" x14ac:dyDescent="0.25">
      <c r="X244" s="1">
        <v>1</v>
      </c>
      <c r="Y244" s="1">
        <v>6</v>
      </c>
      <c r="Z244" s="1">
        <v>1</v>
      </c>
      <c r="AA244" s="18">
        <v>700</v>
      </c>
    </row>
    <row r="245" spans="24:27" x14ac:dyDescent="0.25">
      <c r="X245" s="1">
        <v>2</v>
      </c>
      <c r="Y245" s="1">
        <v>6</v>
      </c>
      <c r="Z245" s="1">
        <v>1</v>
      </c>
      <c r="AA245" s="18">
        <v>400</v>
      </c>
    </row>
    <row r="246" spans="24:27" x14ac:dyDescent="0.25">
      <c r="X246" s="1">
        <v>3</v>
      </c>
      <c r="Y246" s="1">
        <v>6</v>
      </c>
      <c r="Z246" s="1">
        <v>1</v>
      </c>
      <c r="AA246" s="18">
        <v>100</v>
      </c>
    </row>
    <row r="247" spans="24:27" x14ac:dyDescent="0.25">
      <c r="X247" s="1">
        <v>4</v>
      </c>
      <c r="Y247" s="1">
        <v>6</v>
      </c>
      <c r="Z247" s="1">
        <v>1</v>
      </c>
      <c r="AA247" s="18">
        <v>600</v>
      </c>
    </row>
    <row r="248" spans="24:27" x14ac:dyDescent="0.25">
      <c r="X248" s="1">
        <v>1</v>
      </c>
      <c r="Y248" s="1">
        <v>6</v>
      </c>
      <c r="Z248" s="1">
        <v>2</v>
      </c>
      <c r="AA248" s="18">
        <v>400</v>
      </c>
    </row>
    <row r="249" spans="24:27" x14ac:dyDescent="0.25">
      <c r="X249" s="1">
        <v>2</v>
      </c>
      <c r="Y249" s="1">
        <v>6</v>
      </c>
      <c r="Z249" s="1">
        <v>2</v>
      </c>
      <c r="AA249" s="18">
        <v>600</v>
      </c>
    </row>
    <row r="250" spans="24:27" x14ac:dyDescent="0.25">
      <c r="X250" s="1">
        <v>3</v>
      </c>
      <c r="Y250" s="1">
        <v>6</v>
      </c>
      <c r="Z250" s="1">
        <v>2</v>
      </c>
      <c r="AA250" s="18">
        <v>300</v>
      </c>
    </row>
    <row r="251" spans="24:27" x14ac:dyDescent="0.25">
      <c r="X251" s="1">
        <v>4</v>
      </c>
      <c r="Y251" s="1">
        <v>6</v>
      </c>
      <c r="Z251" s="1">
        <v>2</v>
      </c>
      <c r="AA251" s="18">
        <v>420</v>
      </c>
    </row>
    <row r="252" spans="24:27" x14ac:dyDescent="0.25">
      <c r="X252" s="1">
        <v>1</v>
      </c>
      <c r="Y252" s="1">
        <v>6</v>
      </c>
      <c r="Z252" s="1">
        <v>3</v>
      </c>
      <c r="AA252" s="18">
        <v>300</v>
      </c>
    </row>
    <row r="253" spans="24:27" x14ac:dyDescent="0.25">
      <c r="X253" s="1">
        <v>2</v>
      </c>
      <c r="Y253" s="1">
        <v>6</v>
      </c>
      <c r="Z253" s="1">
        <v>3</v>
      </c>
      <c r="AA253" s="18">
        <v>800</v>
      </c>
    </row>
    <row r="254" spans="24:27" x14ac:dyDescent="0.25">
      <c r="X254" s="1">
        <v>3</v>
      </c>
      <c r="Y254" s="1">
        <v>6</v>
      </c>
      <c r="Z254" s="1">
        <v>3</v>
      </c>
      <c r="AA254" s="18">
        <v>600</v>
      </c>
    </row>
    <row r="255" spans="24:27" x14ac:dyDescent="0.25">
      <c r="X255" s="1">
        <v>4</v>
      </c>
      <c r="Y255" s="1">
        <v>6</v>
      </c>
      <c r="Z255" s="1">
        <v>3</v>
      </c>
      <c r="AA255" s="18">
        <v>600</v>
      </c>
    </row>
    <row r="256" spans="24:27" x14ac:dyDescent="0.25">
      <c r="X256" s="1">
        <v>1</v>
      </c>
      <c r="Y256" s="1">
        <v>6</v>
      </c>
      <c r="Z256" s="1">
        <v>4</v>
      </c>
      <c r="AA256" s="18">
        <v>250</v>
      </c>
    </row>
    <row r="257" spans="24:27" x14ac:dyDescent="0.25">
      <c r="X257" s="1">
        <v>2</v>
      </c>
      <c r="Y257" s="1">
        <v>6</v>
      </c>
      <c r="Z257" s="1">
        <v>4</v>
      </c>
      <c r="AA257" s="18">
        <v>600</v>
      </c>
    </row>
    <row r="258" spans="24:27" x14ac:dyDescent="0.25">
      <c r="X258" s="1">
        <v>3</v>
      </c>
      <c r="Y258" s="1">
        <v>6</v>
      </c>
      <c r="Z258" s="1">
        <v>4</v>
      </c>
      <c r="AA258" s="18">
        <v>500</v>
      </c>
    </row>
    <row r="259" spans="24:27" x14ac:dyDescent="0.25">
      <c r="X259" s="1">
        <v>4</v>
      </c>
      <c r="Y259" s="1">
        <v>6</v>
      </c>
      <c r="Z259" s="1">
        <v>4</v>
      </c>
      <c r="AA259" s="18">
        <v>740</v>
      </c>
    </row>
    <row r="260" spans="24:27" x14ac:dyDescent="0.25">
      <c r="X260" s="1">
        <v>1</v>
      </c>
      <c r="Y260" s="1">
        <v>6</v>
      </c>
      <c r="Z260" s="1">
        <v>5</v>
      </c>
      <c r="AA260" s="18">
        <v>300</v>
      </c>
    </row>
    <row r="261" spans="24:27" x14ac:dyDescent="0.25">
      <c r="X261" s="1">
        <v>2</v>
      </c>
      <c r="Y261" s="1">
        <v>6</v>
      </c>
      <c r="Z261" s="1">
        <v>5</v>
      </c>
      <c r="AA261" s="18">
        <v>400</v>
      </c>
    </row>
    <row r="262" spans="24:27" x14ac:dyDescent="0.25">
      <c r="X262" s="1">
        <v>3</v>
      </c>
      <c r="Y262" s="1">
        <v>6</v>
      </c>
      <c r="Z262" s="1">
        <v>5</v>
      </c>
      <c r="AA262" s="18">
        <v>200</v>
      </c>
    </row>
    <row r="263" spans="24:27" x14ac:dyDescent="0.25">
      <c r="X263" s="1">
        <v>4</v>
      </c>
      <c r="Y263" s="1">
        <v>6</v>
      </c>
      <c r="Z263" s="1">
        <v>5</v>
      </c>
      <c r="AA263" s="18">
        <v>1400</v>
      </c>
    </row>
    <row r="264" spans="24:27" x14ac:dyDescent="0.25">
      <c r="X264" s="1">
        <v>1</v>
      </c>
      <c r="Y264" s="1">
        <v>6</v>
      </c>
      <c r="Z264" s="1">
        <v>6</v>
      </c>
      <c r="AA264" s="18">
        <v>400</v>
      </c>
    </row>
    <row r="265" spans="24:27" x14ac:dyDescent="0.25">
      <c r="X265" s="1">
        <v>2</v>
      </c>
      <c r="Y265" s="1">
        <v>6</v>
      </c>
      <c r="Z265" s="1">
        <v>6</v>
      </c>
      <c r="AA265" s="18">
        <v>1400</v>
      </c>
    </row>
    <row r="266" spans="24:27" x14ac:dyDescent="0.25">
      <c r="X266" s="1">
        <v>3</v>
      </c>
      <c r="Y266" s="1">
        <v>6</v>
      </c>
      <c r="Z266" s="1">
        <v>6</v>
      </c>
      <c r="AA266" s="18">
        <v>340</v>
      </c>
    </row>
    <row r="267" spans="24:27" x14ac:dyDescent="0.25">
      <c r="X267" s="1">
        <v>4</v>
      </c>
      <c r="Y267" s="1">
        <v>6</v>
      </c>
      <c r="Z267" s="1">
        <v>6</v>
      </c>
      <c r="AA267" s="18">
        <v>600</v>
      </c>
    </row>
    <row r="268" spans="24:27" x14ac:dyDescent="0.25">
      <c r="X268" s="1">
        <v>1</v>
      </c>
      <c r="Y268" s="1">
        <v>6</v>
      </c>
      <c r="Z268" s="1">
        <v>7</v>
      </c>
      <c r="AA268" s="18">
        <v>300</v>
      </c>
    </row>
    <row r="269" spans="24:27" x14ac:dyDescent="0.25">
      <c r="X269" s="1">
        <v>2</v>
      </c>
      <c r="Y269" s="1">
        <v>6</v>
      </c>
      <c r="Z269" s="1">
        <v>7</v>
      </c>
      <c r="AA269" s="18">
        <v>600</v>
      </c>
    </row>
    <row r="270" spans="24:27" x14ac:dyDescent="0.25">
      <c r="X270" s="1">
        <v>3</v>
      </c>
      <c r="Y270" s="1">
        <v>6</v>
      </c>
      <c r="Z270" s="1">
        <v>7</v>
      </c>
      <c r="AA270" s="18">
        <v>600</v>
      </c>
    </row>
    <row r="271" spans="24:27" x14ac:dyDescent="0.25">
      <c r="X271" s="1">
        <v>4</v>
      </c>
      <c r="Y271" s="1">
        <v>6</v>
      </c>
      <c r="Z271" s="1">
        <v>7</v>
      </c>
      <c r="AA271" s="18">
        <v>260</v>
      </c>
    </row>
    <row r="272" spans="24:27" x14ac:dyDescent="0.25">
      <c r="X272" s="1">
        <v>1</v>
      </c>
      <c r="Y272" s="1">
        <v>6</v>
      </c>
      <c r="Z272" s="1">
        <v>8</v>
      </c>
      <c r="AA272" s="18">
        <v>1000</v>
      </c>
    </row>
    <row r="273" spans="24:27" x14ac:dyDescent="0.25">
      <c r="X273" s="1">
        <v>2</v>
      </c>
      <c r="Y273" s="1">
        <v>6</v>
      </c>
      <c r="Z273" s="1">
        <v>8</v>
      </c>
      <c r="AA273" s="18">
        <v>600</v>
      </c>
    </row>
    <row r="274" spans="24:27" x14ac:dyDescent="0.25">
      <c r="X274" s="1">
        <v>3</v>
      </c>
      <c r="Y274" s="1">
        <v>6</v>
      </c>
      <c r="Z274" s="1">
        <v>8</v>
      </c>
      <c r="AA274" s="18">
        <v>300</v>
      </c>
    </row>
    <row r="275" spans="24:27" x14ac:dyDescent="0.25">
      <c r="X275" s="1">
        <v>4</v>
      </c>
      <c r="Y275" s="1">
        <v>6</v>
      </c>
      <c r="Z275" s="1">
        <v>8</v>
      </c>
      <c r="AA275" s="18">
        <v>800</v>
      </c>
    </row>
    <row r="276" spans="24:27" x14ac:dyDescent="0.25">
      <c r="X276" s="1">
        <v>1</v>
      </c>
      <c r="Y276" s="1">
        <v>6</v>
      </c>
      <c r="Z276" s="1">
        <v>9</v>
      </c>
      <c r="AA276" s="18">
        <v>200</v>
      </c>
    </row>
    <row r="277" spans="24:27" x14ac:dyDescent="0.25">
      <c r="X277" s="1">
        <v>2</v>
      </c>
      <c r="Y277" s="1">
        <v>6</v>
      </c>
      <c r="Z277" s="1">
        <v>9</v>
      </c>
      <c r="AA277" s="18">
        <v>400</v>
      </c>
    </row>
    <row r="278" spans="24:27" x14ac:dyDescent="0.25">
      <c r="X278" s="1">
        <v>3</v>
      </c>
      <c r="Y278" s="1">
        <v>6</v>
      </c>
      <c r="Z278" s="1">
        <v>9</v>
      </c>
      <c r="AA278" s="18">
        <v>300</v>
      </c>
    </row>
    <row r="279" spans="24:27" x14ac:dyDescent="0.25">
      <c r="X279" s="1">
        <v>4</v>
      </c>
      <c r="Y279" s="1">
        <v>6</v>
      </c>
      <c r="Z279" s="1">
        <v>9</v>
      </c>
      <c r="AA279" s="18">
        <v>500</v>
      </c>
    </row>
    <row r="280" spans="24:27" x14ac:dyDescent="0.25">
      <c r="X280" s="1">
        <v>1</v>
      </c>
      <c r="Y280" s="1">
        <v>6</v>
      </c>
      <c r="Z280" s="1">
        <v>10</v>
      </c>
      <c r="AA280" s="18">
        <v>490</v>
      </c>
    </row>
    <row r="281" spans="24:27" x14ac:dyDescent="0.25">
      <c r="X281" s="1">
        <v>2</v>
      </c>
      <c r="Y281" s="1">
        <v>6</v>
      </c>
      <c r="Z281" s="1">
        <v>10</v>
      </c>
      <c r="AA281" s="18">
        <v>540</v>
      </c>
    </row>
    <row r="282" spans="24:27" x14ac:dyDescent="0.25">
      <c r="X282" s="1">
        <v>3</v>
      </c>
      <c r="Y282" s="1">
        <v>6</v>
      </c>
      <c r="Z282" s="1">
        <v>10</v>
      </c>
      <c r="AA282" s="18">
        <v>500</v>
      </c>
    </row>
    <row r="283" spans="24:27" x14ac:dyDescent="0.25">
      <c r="X283" s="1">
        <v>4</v>
      </c>
      <c r="Y283" s="1">
        <v>6</v>
      </c>
      <c r="Z283" s="1">
        <v>10</v>
      </c>
      <c r="AA283" s="18">
        <v>620</v>
      </c>
    </row>
    <row r="284" spans="24:27" x14ac:dyDescent="0.25">
      <c r="X284" s="1">
        <v>1</v>
      </c>
      <c r="Y284" s="1">
        <v>6</v>
      </c>
      <c r="Z284" s="1">
        <v>11</v>
      </c>
      <c r="AA284" s="18">
        <v>370</v>
      </c>
    </row>
    <row r="285" spans="24:27" x14ac:dyDescent="0.25">
      <c r="X285" s="1">
        <v>2</v>
      </c>
      <c r="Y285" s="1">
        <v>6</v>
      </c>
      <c r="Z285" s="1">
        <v>11</v>
      </c>
      <c r="AA285" s="18">
        <v>340</v>
      </c>
    </row>
    <row r="286" spans="24:27" x14ac:dyDescent="0.25">
      <c r="X286" s="1">
        <v>3</v>
      </c>
      <c r="Y286" s="1">
        <v>6</v>
      </c>
      <c r="Z286" s="1">
        <v>11</v>
      </c>
      <c r="AA286" s="18">
        <v>470</v>
      </c>
    </row>
    <row r="287" spans="24:27" x14ac:dyDescent="0.25">
      <c r="X287" s="1">
        <v>4</v>
      </c>
      <c r="Y287" s="1">
        <v>6</v>
      </c>
      <c r="Z287" s="1">
        <v>11</v>
      </c>
      <c r="AA287" s="18">
        <v>600</v>
      </c>
    </row>
    <row r="288" spans="24:27" x14ac:dyDescent="0.25">
      <c r="X288" s="1">
        <v>1</v>
      </c>
      <c r="Y288" s="1">
        <v>6</v>
      </c>
      <c r="Z288" s="1">
        <v>12</v>
      </c>
      <c r="AA288" s="18">
        <v>300</v>
      </c>
    </row>
    <row r="289" spans="24:27" x14ac:dyDescent="0.25">
      <c r="X289" s="1">
        <v>2</v>
      </c>
      <c r="Y289" s="1">
        <v>6</v>
      </c>
      <c r="Z289" s="1">
        <v>12</v>
      </c>
      <c r="AA289" s="18">
        <v>440</v>
      </c>
    </row>
    <row r="290" spans="24:27" x14ac:dyDescent="0.25">
      <c r="X290" s="1">
        <v>3</v>
      </c>
      <c r="Y290" s="1">
        <v>6</v>
      </c>
      <c r="Z290" s="1">
        <v>12</v>
      </c>
      <c r="AA290" s="18">
        <v>500</v>
      </c>
    </row>
    <row r="291" spans="24:27" x14ac:dyDescent="0.25">
      <c r="X291" s="1">
        <v>4</v>
      </c>
      <c r="Y291" s="1">
        <v>6</v>
      </c>
      <c r="Z291" s="1">
        <v>12</v>
      </c>
      <c r="AA291" s="18">
        <v>200</v>
      </c>
    </row>
    <row r="292" spans="24:27" x14ac:dyDescent="0.25">
      <c r="X292" s="1">
        <v>1</v>
      </c>
      <c r="Y292" s="1">
        <v>7</v>
      </c>
      <c r="Z292" s="1">
        <v>1</v>
      </c>
      <c r="AA292" s="18">
        <v>700</v>
      </c>
    </row>
    <row r="293" spans="24:27" x14ac:dyDescent="0.25">
      <c r="X293" s="1">
        <v>2</v>
      </c>
      <c r="Y293" s="1">
        <v>7</v>
      </c>
      <c r="Z293" s="1">
        <v>1</v>
      </c>
      <c r="AA293" s="18">
        <v>0</v>
      </c>
    </row>
    <row r="294" spans="24:27" x14ac:dyDescent="0.25">
      <c r="X294" s="1">
        <v>3</v>
      </c>
      <c r="Y294" s="1">
        <v>7</v>
      </c>
      <c r="Z294" s="1">
        <v>1</v>
      </c>
      <c r="AA294" s="18">
        <v>150</v>
      </c>
    </row>
    <row r="295" spans="24:27" x14ac:dyDescent="0.25">
      <c r="X295" s="1">
        <v>4</v>
      </c>
      <c r="Y295" s="1">
        <v>7</v>
      </c>
      <c r="Z295" s="1">
        <v>1</v>
      </c>
      <c r="AA295" s="18">
        <v>300</v>
      </c>
    </row>
    <row r="296" spans="24:27" x14ac:dyDescent="0.25">
      <c r="X296" s="1">
        <v>1</v>
      </c>
      <c r="Y296" s="1">
        <v>7</v>
      </c>
      <c r="Z296" s="1">
        <v>2</v>
      </c>
      <c r="AA296" s="18">
        <v>400</v>
      </c>
    </row>
    <row r="297" spans="24:27" x14ac:dyDescent="0.25">
      <c r="X297" s="1">
        <v>2</v>
      </c>
      <c r="Y297" s="1">
        <v>7</v>
      </c>
      <c r="Z297" s="1">
        <v>2</v>
      </c>
      <c r="AA297" s="18">
        <v>0</v>
      </c>
    </row>
    <row r="298" spans="24:27" x14ac:dyDescent="0.25">
      <c r="X298" s="1">
        <v>3</v>
      </c>
      <c r="Y298" s="1">
        <v>7</v>
      </c>
      <c r="Z298" s="1">
        <v>2</v>
      </c>
      <c r="AA298" s="18">
        <v>450</v>
      </c>
    </row>
    <row r="299" spans="24:27" x14ac:dyDescent="0.25">
      <c r="X299" s="1">
        <v>4</v>
      </c>
      <c r="Y299" s="1">
        <v>7</v>
      </c>
      <c r="Z299" s="1">
        <v>2</v>
      </c>
      <c r="AA299" s="18">
        <v>210</v>
      </c>
    </row>
    <row r="300" spans="24:27" x14ac:dyDescent="0.25">
      <c r="X300" s="1">
        <v>1</v>
      </c>
      <c r="Y300" s="1">
        <v>7</v>
      </c>
      <c r="Z300" s="1">
        <v>3</v>
      </c>
      <c r="AA300" s="18">
        <v>300</v>
      </c>
    </row>
    <row r="301" spans="24:27" x14ac:dyDescent="0.25">
      <c r="X301" s="1">
        <v>2</v>
      </c>
      <c r="Y301" s="1">
        <v>7</v>
      </c>
      <c r="Z301" s="1">
        <v>3</v>
      </c>
      <c r="AA301" s="18">
        <v>0</v>
      </c>
    </row>
    <row r="302" spans="24:27" x14ac:dyDescent="0.25">
      <c r="X302" s="1">
        <v>3</v>
      </c>
      <c r="Y302" s="1">
        <v>7</v>
      </c>
      <c r="Z302" s="1">
        <v>3</v>
      </c>
      <c r="AA302" s="18">
        <v>900</v>
      </c>
    </row>
    <row r="303" spans="24:27" x14ac:dyDescent="0.25">
      <c r="X303" s="1">
        <v>4</v>
      </c>
      <c r="Y303" s="1">
        <v>7</v>
      </c>
      <c r="Z303" s="1">
        <v>3</v>
      </c>
      <c r="AA303" s="18">
        <v>300</v>
      </c>
    </row>
    <row r="304" spans="24:27" x14ac:dyDescent="0.25">
      <c r="X304" s="1">
        <v>1</v>
      </c>
      <c r="Y304" s="1">
        <v>7</v>
      </c>
      <c r="Z304" s="1">
        <v>4</v>
      </c>
      <c r="AA304" s="18">
        <v>250</v>
      </c>
    </row>
    <row r="305" spans="24:27" x14ac:dyDescent="0.25">
      <c r="X305" s="1">
        <v>2</v>
      </c>
      <c r="Y305" s="1">
        <v>7</v>
      </c>
      <c r="Z305" s="1">
        <v>4</v>
      </c>
      <c r="AA305" s="18">
        <v>0</v>
      </c>
    </row>
    <row r="306" spans="24:27" x14ac:dyDescent="0.25">
      <c r="X306" s="1">
        <v>3</v>
      </c>
      <c r="Y306" s="1">
        <v>7</v>
      </c>
      <c r="Z306" s="1">
        <v>4</v>
      </c>
      <c r="AA306" s="18">
        <v>750</v>
      </c>
    </row>
    <row r="307" spans="24:27" x14ac:dyDescent="0.25">
      <c r="X307" s="1">
        <v>4</v>
      </c>
      <c r="Y307" s="1">
        <v>7</v>
      </c>
      <c r="Z307" s="1">
        <v>4</v>
      </c>
      <c r="AA307" s="18">
        <v>370</v>
      </c>
    </row>
    <row r="308" spans="24:27" x14ac:dyDescent="0.25">
      <c r="X308" s="1">
        <v>1</v>
      </c>
      <c r="Y308" s="1">
        <v>7</v>
      </c>
      <c r="Z308" s="1">
        <v>5</v>
      </c>
      <c r="AA308" s="18">
        <v>300</v>
      </c>
    </row>
    <row r="309" spans="24:27" x14ac:dyDescent="0.25">
      <c r="X309" s="1">
        <v>2</v>
      </c>
      <c r="Y309" s="1">
        <v>7</v>
      </c>
      <c r="Z309" s="1">
        <v>5</v>
      </c>
      <c r="AA309" s="18">
        <v>0</v>
      </c>
    </row>
    <row r="310" spans="24:27" x14ac:dyDescent="0.25">
      <c r="X310" s="1">
        <v>3</v>
      </c>
      <c r="Y310" s="1">
        <v>7</v>
      </c>
      <c r="Z310" s="1">
        <v>5</v>
      </c>
      <c r="AA310" s="18">
        <v>300</v>
      </c>
    </row>
    <row r="311" spans="24:27" x14ac:dyDescent="0.25">
      <c r="X311" s="1">
        <v>4</v>
      </c>
      <c r="Y311" s="1">
        <v>7</v>
      </c>
      <c r="Z311" s="1">
        <v>5</v>
      </c>
      <c r="AA311" s="18">
        <v>700</v>
      </c>
    </row>
    <row r="312" spans="24:27" x14ac:dyDescent="0.25">
      <c r="X312" s="1">
        <v>1</v>
      </c>
      <c r="Y312" s="1">
        <v>7</v>
      </c>
      <c r="Z312" s="1">
        <v>6</v>
      </c>
      <c r="AA312" s="18">
        <v>400</v>
      </c>
    </row>
    <row r="313" spans="24:27" x14ac:dyDescent="0.25">
      <c r="X313" s="1">
        <v>2</v>
      </c>
      <c r="Y313" s="1">
        <v>7</v>
      </c>
      <c r="Z313" s="1">
        <v>6</v>
      </c>
      <c r="AA313" s="18">
        <v>0</v>
      </c>
    </row>
    <row r="314" spans="24:27" x14ac:dyDescent="0.25">
      <c r="X314" s="1">
        <v>3</v>
      </c>
      <c r="Y314" s="1">
        <v>7</v>
      </c>
      <c r="Z314" s="1">
        <v>6</v>
      </c>
      <c r="AA314" s="18">
        <v>510</v>
      </c>
    </row>
    <row r="315" spans="24:27" x14ac:dyDescent="0.25">
      <c r="X315" s="1">
        <v>4</v>
      </c>
      <c r="Y315" s="1">
        <v>7</v>
      </c>
      <c r="Z315" s="1">
        <v>6</v>
      </c>
      <c r="AA315" s="18">
        <v>300</v>
      </c>
    </row>
    <row r="316" spans="24:27" x14ac:dyDescent="0.25">
      <c r="X316" s="1">
        <v>1</v>
      </c>
      <c r="Y316" s="1">
        <v>7</v>
      </c>
      <c r="Z316" s="1">
        <v>7</v>
      </c>
      <c r="AA316" s="18">
        <v>300</v>
      </c>
    </row>
    <row r="317" spans="24:27" x14ac:dyDescent="0.25">
      <c r="X317" s="1">
        <v>2</v>
      </c>
      <c r="Y317" s="1">
        <v>7</v>
      </c>
      <c r="Z317" s="1">
        <v>7</v>
      </c>
      <c r="AA317" s="18">
        <v>0</v>
      </c>
    </row>
    <row r="318" spans="24:27" x14ac:dyDescent="0.25">
      <c r="X318" s="1">
        <v>3</v>
      </c>
      <c r="Y318" s="1">
        <v>7</v>
      </c>
      <c r="Z318" s="1">
        <v>7</v>
      </c>
      <c r="AA318" s="18">
        <v>900</v>
      </c>
    </row>
    <row r="319" spans="24:27" x14ac:dyDescent="0.25">
      <c r="X319" s="1">
        <v>4</v>
      </c>
      <c r="Y319" s="1">
        <v>7</v>
      </c>
      <c r="Z319" s="1">
        <v>7</v>
      </c>
      <c r="AA319" s="18">
        <v>130</v>
      </c>
    </row>
    <row r="320" spans="24:27" x14ac:dyDescent="0.25">
      <c r="X320" s="1">
        <v>1</v>
      </c>
      <c r="Y320" s="1">
        <v>7</v>
      </c>
      <c r="Z320" s="1">
        <v>8</v>
      </c>
      <c r="AA320" s="18">
        <v>1000</v>
      </c>
    </row>
    <row r="321" spans="24:27" x14ac:dyDescent="0.25">
      <c r="X321" s="1">
        <v>2</v>
      </c>
      <c r="Y321" s="1">
        <v>7</v>
      </c>
      <c r="Z321" s="1">
        <v>8</v>
      </c>
      <c r="AA321" s="18">
        <v>0</v>
      </c>
    </row>
    <row r="322" spans="24:27" x14ac:dyDescent="0.25">
      <c r="X322" s="1">
        <v>3</v>
      </c>
      <c r="Y322" s="1">
        <v>7</v>
      </c>
      <c r="Z322" s="1">
        <v>8</v>
      </c>
      <c r="AA322" s="18">
        <v>450</v>
      </c>
    </row>
    <row r="323" spans="24:27" x14ac:dyDescent="0.25">
      <c r="X323" s="1">
        <v>4</v>
      </c>
      <c r="Y323" s="1">
        <v>7</v>
      </c>
      <c r="Z323" s="1">
        <v>8</v>
      </c>
      <c r="AA323" s="18">
        <v>400</v>
      </c>
    </row>
    <row r="324" spans="24:27" x14ac:dyDescent="0.25">
      <c r="X324" s="1">
        <v>1</v>
      </c>
      <c r="Y324" s="1">
        <v>7</v>
      </c>
      <c r="Z324" s="1">
        <v>9</v>
      </c>
      <c r="AA324" s="18">
        <v>200</v>
      </c>
    </row>
    <row r="325" spans="24:27" x14ac:dyDescent="0.25">
      <c r="X325" s="1">
        <v>2</v>
      </c>
      <c r="Y325" s="1">
        <v>7</v>
      </c>
      <c r="Z325" s="1">
        <v>9</v>
      </c>
      <c r="AA325" s="18">
        <v>0</v>
      </c>
    </row>
    <row r="326" spans="24:27" x14ac:dyDescent="0.25">
      <c r="X326" s="1">
        <v>3</v>
      </c>
      <c r="Y326" s="1">
        <v>7</v>
      </c>
      <c r="Z326" s="1">
        <v>9</v>
      </c>
      <c r="AA326" s="18">
        <v>450</v>
      </c>
    </row>
    <row r="327" spans="24:27" x14ac:dyDescent="0.25">
      <c r="X327" s="1">
        <v>4</v>
      </c>
      <c r="Y327" s="1">
        <v>7</v>
      </c>
      <c r="Z327" s="1">
        <v>9</v>
      </c>
      <c r="AA327" s="18">
        <v>250</v>
      </c>
    </row>
    <row r="328" spans="24:27" x14ac:dyDescent="0.25">
      <c r="X328" s="1">
        <v>1</v>
      </c>
      <c r="Y328" s="1">
        <v>7</v>
      </c>
      <c r="Z328" s="1">
        <v>10</v>
      </c>
      <c r="AA328" s="18">
        <v>490</v>
      </c>
    </row>
    <row r="329" spans="24:27" x14ac:dyDescent="0.25">
      <c r="X329" s="1">
        <v>2</v>
      </c>
      <c r="Y329" s="1">
        <v>7</v>
      </c>
      <c r="Z329" s="1">
        <v>10</v>
      </c>
      <c r="AA329" s="18">
        <v>0</v>
      </c>
    </row>
    <row r="330" spans="24:27" x14ac:dyDescent="0.25">
      <c r="X330" s="1">
        <v>3</v>
      </c>
      <c r="Y330" s="1">
        <v>7</v>
      </c>
      <c r="Z330" s="1">
        <v>10</v>
      </c>
      <c r="AA330" s="18">
        <v>750</v>
      </c>
    </row>
    <row r="331" spans="24:27" x14ac:dyDescent="0.25">
      <c r="X331" s="1">
        <v>4</v>
      </c>
      <c r="Y331" s="1">
        <v>7</v>
      </c>
      <c r="Z331" s="1">
        <v>10</v>
      </c>
      <c r="AA331" s="18">
        <v>310</v>
      </c>
    </row>
    <row r="332" spans="24:27" x14ac:dyDescent="0.25">
      <c r="X332" s="1">
        <v>1</v>
      </c>
      <c r="Y332" s="1">
        <v>7</v>
      </c>
      <c r="Z332" s="1">
        <v>11</v>
      </c>
      <c r="AA332" s="18">
        <v>370</v>
      </c>
    </row>
    <row r="333" spans="24:27" x14ac:dyDescent="0.25">
      <c r="X333" s="1">
        <v>2</v>
      </c>
      <c r="Y333" s="1">
        <v>7</v>
      </c>
      <c r="Z333" s="1">
        <v>11</v>
      </c>
      <c r="AA333" s="18">
        <v>0</v>
      </c>
    </row>
    <row r="334" spans="24:27" x14ac:dyDescent="0.25">
      <c r="X334" s="1">
        <v>3</v>
      </c>
      <c r="Y334" s="1">
        <v>7</v>
      </c>
      <c r="Z334" s="1">
        <v>11</v>
      </c>
      <c r="AA334" s="18">
        <v>705</v>
      </c>
    </row>
    <row r="335" spans="24:27" x14ac:dyDescent="0.25">
      <c r="X335" s="1">
        <v>4</v>
      </c>
      <c r="Y335" s="1">
        <v>7</v>
      </c>
      <c r="Z335" s="1">
        <v>11</v>
      </c>
      <c r="AA335" s="18">
        <v>300</v>
      </c>
    </row>
    <row r="336" spans="24:27" x14ac:dyDescent="0.25">
      <c r="X336" s="1">
        <v>1</v>
      </c>
      <c r="Y336" s="1">
        <v>7</v>
      </c>
      <c r="Z336" s="1">
        <v>12</v>
      </c>
      <c r="AA336" s="18">
        <v>300</v>
      </c>
    </row>
    <row r="337" spans="24:27" x14ac:dyDescent="0.25">
      <c r="X337" s="1">
        <v>2</v>
      </c>
      <c r="Y337" s="1">
        <v>7</v>
      </c>
      <c r="Z337" s="1">
        <v>12</v>
      </c>
      <c r="AA337" s="18">
        <v>0</v>
      </c>
    </row>
    <row r="338" spans="24:27" x14ac:dyDescent="0.25">
      <c r="X338" s="1">
        <v>3</v>
      </c>
      <c r="Y338" s="1">
        <v>7</v>
      </c>
      <c r="Z338" s="1">
        <v>12</v>
      </c>
      <c r="AA338" s="18">
        <v>750</v>
      </c>
    </row>
    <row r="339" spans="24:27" x14ac:dyDescent="0.25">
      <c r="X339" s="1">
        <v>4</v>
      </c>
      <c r="Y339" s="1">
        <v>7</v>
      </c>
      <c r="Z339" s="1">
        <v>12</v>
      </c>
      <c r="AA339" s="18">
        <v>100</v>
      </c>
    </row>
    <row r="340" spans="24:27" x14ac:dyDescent="0.25">
      <c r="X340" s="1">
        <v>1</v>
      </c>
      <c r="Y340" s="1">
        <v>8</v>
      </c>
      <c r="Z340" s="1">
        <v>1</v>
      </c>
      <c r="AA340" s="18">
        <v>700</v>
      </c>
    </row>
    <row r="341" spans="24:27" x14ac:dyDescent="0.25">
      <c r="X341" s="1">
        <v>2</v>
      </c>
      <c r="Y341" s="1">
        <v>8</v>
      </c>
      <c r="Z341" s="1">
        <v>1</v>
      </c>
      <c r="AA341" s="18">
        <v>200</v>
      </c>
    </row>
    <row r="342" spans="24:27" x14ac:dyDescent="0.25">
      <c r="X342" s="1">
        <v>3</v>
      </c>
      <c r="Y342" s="1">
        <v>8</v>
      </c>
      <c r="Z342" s="1">
        <v>1</v>
      </c>
      <c r="AA342" s="18">
        <v>0</v>
      </c>
    </row>
    <row r="343" spans="24:27" x14ac:dyDescent="0.25">
      <c r="X343" s="1">
        <v>4</v>
      </c>
      <c r="Y343" s="1">
        <v>8</v>
      </c>
      <c r="Z343" s="1">
        <v>1</v>
      </c>
      <c r="AA343" s="18">
        <v>300</v>
      </c>
    </row>
    <row r="344" spans="24:27" x14ac:dyDescent="0.25">
      <c r="X344" s="1">
        <v>1</v>
      </c>
      <c r="Y344" s="1">
        <v>8</v>
      </c>
      <c r="Z344" s="1">
        <v>2</v>
      </c>
      <c r="AA344" s="18">
        <v>400</v>
      </c>
    </row>
    <row r="345" spans="24:27" x14ac:dyDescent="0.25">
      <c r="X345" s="1">
        <v>2</v>
      </c>
      <c r="Y345" s="1">
        <v>8</v>
      </c>
      <c r="Z345" s="1">
        <v>2</v>
      </c>
      <c r="AA345" s="18">
        <v>300</v>
      </c>
    </row>
    <row r="346" spans="24:27" x14ac:dyDescent="0.25">
      <c r="X346" s="1">
        <v>3</v>
      </c>
      <c r="Y346" s="1">
        <v>8</v>
      </c>
      <c r="Z346" s="1">
        <v>2</v>
      </c>
      <c r="AA346" s="18">
        <v>0</v>
      </c>
    </row>
    <row r="347" spans="24:27" x14ac:dyDescent="0.25">
      <c r="X347" s="1">
        <v>4</v>
      </c>
      <c r="Y347" s="1">
        <v>8</v>
      </c>
      <c r="Z347" s="1">
        <v>2</v>
      </c>
      <c r="AA347" s="18">
        <v>210</v>
      </c>
    </row>
    <row r="348" spans="24:27" x14ac:dyDescent="0.25">
      <c r="X348" s="1">
        <v>1</v>
      </c>
      <c r="Y348" s="1">
        <v>8</v>
      </c>
      <c r="Z348" s="1">
        <v>3</v>
      </c>
      <c r="AA348" s="18">
        <v>300</v>
      </c>
    </row>
    <row r="349" spans="24:27" x14ac:dyDescent="0.25">
      <c r="X349" s="1">
        <v>2</v>
      </c>
      <c r="Y349" s="1">
        <v>8</v>
      </c>
      <c r="Z349" s="1">
        <v>3</v>
      </c>
      <c r="AA349" s="18">
        <v>400</v>
      </c>
    </row>
    <row r="350" spans="24:27" x14ac:dyDescent="0.25">
      <c r="X350" s="1">
        <v>3</v>
      </c>
      <c r="Y350" s="1">
        <v>8</v>
      </c>
      <c r="Z350" s="1">
        <v>3</v>
      </c>
      <c r="AA350" s="18">
        <v>0</v>
      </c>
    </row>
    <row r="351" spans="24:27" x14ac:dyDescent="0.25">
      <c r="X351" s="1">
        <v>4</v>
      </c>
      <c r="Y351" s="1">
        <v>8</v>
      </c>
      <c r="Z351" s="1">
        <v>3</v>
      </c>
      <c r="AA351" s="18">
        <v>300</v>
      </c>
    </row>
    <row r="352" spans="24:27" x14ac:dyDescent="0.25">
      <c r="X352" s="1">
        <v>1</v>
      </c>
      <c r="Y352" s="1">
        <v>8</v>
      </c>
      <c r="Z352" s="1">
        <v>4</v>
      </c>
      <c r="AA352" s="18">
        <v>250</v>
      </c>
    </row>
    <row r="353" spans="24:27" x14ac:dyDescent="0.25">
      <c r="X353" s="1">
        <v>2</v>
      </c>
      <c r="Y353" s="1">
        <v>8</v>
      </c>
      <c r="Z353" s="1">
        <v>4</v>
      </c>
      <c r="AA353" s="18">
        <v>300</v>
      </c>
    </row>
    <row r="354" spans="24:27" x14ac:dyDescent="0.25">
      <c r="X354" s="1">
        <v>3</v>
      </c>
      <c r="Y354" s="1">
        <v>8</v>
      </c>
      <c r="Z354" s="1">
        <v>4</v>
      </c>
      <c r="AA354" s="18">
        <v>0</v>
      </c>
    </row>
    <row r="355" spans="24:27" x14ac:dyDescent="0.25">
      <c r="X355" s="1">
        <v>4</v>
      </c>
      <c r="Y355" s="1">
        <v>8</v>
      </c>
      <c r="Z355" s="1">
        <v>4</v>
      </c>
      <c r="AA355" s="18">
        <v>370</v>
      </c>
    </row>
    <row r="356" spans="24:27" x14ac:dyDescent="0.25">
      <c r="X356" s="1">
        <v>1</v>
      </c>
      <c r="Y356" s="1">
        <v>8</v>
      </c>
      <c r="Z356" s="1">
        <v>5</v>
      </c>
      <c r="AA356" s="18">
        <v>300</v>
      </c>
    </row>
    <row r="357" spans="24:27" x14ac:dyDescent="0.25">
      <c r="X357" s="1">
        <v>2</v>
      </c>
      <c r="Y357" s="1">
        <v>8</v>
      </c>
      <c r="Z357" s="1">
        <v>5</v>
      </c>
      <c r="AA357" s="18">
        <v>200</v>
      </c>
    </row>
    <row r="358" spans="24:27" x14ac:dyDescent="0.25">
      <c r="X358" s="1">
        <v>3</v>
      </c>
      <c r="Y358" s="1">
        <v>8</v>
      </c>
      <c r="Z358" s="1">
        <v>5</v>
      </c>
      <c r="AA358" s="18">
        <v>0</v>
      </c>
    </row>
    <row r="359" spans="24:27" x14ac:dyDescent="0.25">
      <c r="X359" s="1">
        <v>4</v>
      </c>
      <c r="Y359" s="1">
        <v>8</v>
      </c>
      <c r="Z359" s="1">
        <v>5</v>
      </c>
      <c r="AA359" s="18">
        <v>700</v>
      </c>
    </row>
    <row r="360" spans="24:27" x14ac:dyDescent="0.25">
      <c r="X360" s="1">
        <v>1</v>
      </c>
      <c r="Y360" s="1">
        <v>8</v>
      </c>
      <c r="Z360" s="1">
        <v>6</v>
      </c>
      <c r="AA360" s="18">
        <v>400</v>
      </c>
    </row>
    <row r="361" spans="24:27" x14ac:dyDescent="0.25">
      <c r="X361" s="1">
        <v>2</v>
      </c>
      <c r="Y361" s="1">
        <v>8</v>
      </c>
      <c r="Z361" s="1">
        <v>6</v>
      </c>
      <c r="AA361" s="18">
        <v>700</v>
      </c>
    </row>
    <row r="362" spans="24:27" x14ac:dyDescent="0.25">
      <c r="X362" s="1">
        <v>3</v>
      </c>
      <c r="Y362" s="1">
        <v>8</v>
      </c>
      <c r="Z362" s="1">
        <v>6</v>
      </c>
      <c r="AA362" s="18">
        <v>0</v>
      </c>
    </row>
    <row r="363" spans="24:27" x14ac:dyDescent="0.25">
      <c r="X363" s="1">
        <v>4</v>
      </c>
      <c r="Y363" s="1">
        <v>8</v>
      </c>
      <c r="Z363" s="1">
        <v>6</v>
      </c>
      <c r="AA363" s="18">
        <v>300</v>
      </c>
    </row>
    <row r="364" spans="24:27" x14ac:dyDescent="0.25">
      <c r="X364" s="1">
        <v>1</v>
      </c>
      <c r="Y364" s="1">
        <v>8</v>
      </c>
      <c r="Z364" s="1">
        <v>7</v>
      </c>
      <c r="AA364" s="18">
        <v>300</v>
      </c>
    </row>
    <row r="365" spans="24:27" x14ac:dyDescent="0.25">
      <c r="X365" s="1">
        <v>2</v>
      </c>
      <c r="Y365" s="1">
        <v>8</v>
      </c>
      <c r="Z365" s="1">
        <v>7</v>
      </c>
      <c r="AA365" s="18">
        <v>300</v>
      </c>
    </row>
    <row r="366" spans="24:27" x14ac:dyDescent="0.25">
      <c r="X366" s="1">
        <v>3</v>
      </c>
      <c r="Y366" s="1">
        <v>8</v>
      </c>
      <c r="Z366" s="1">
        <v>7</v>
      </c>
      <c r="AA366" s="18">
        <v>0</v>
      </c>
    </row>
    <row r="367" spans="24:27" x14ac:dyDescent="0.25">
      <c r="X367" s="1">
        <v>4</v>
      </c>
      <c r="Y367" s="1">
        <v>8</v>
      </c>
      <c r="Z367" s="1">
        <v>7</v>
      </c>
      <c r="AA367" s="18">
        <v>130</v>
      </c>
    </row>
    <row r="368" spans="24:27" x14ac:dyDescent="0.25">
      <c r="X368" s="1">
        <v>1</v>
      </c>
      <c r="Y368" s="1">
        <v>8</v>
      </c>
      <c r="Z368" s="1">
        <v>8</v>
      </c>
      <c r="AA368" s="18">
        <v>1000</v>
      </c>
    </row>
    <row r="369" spans="24:27" x14ac:dyDescent="0.25">
      <c r="X369" s="1">
        <v>2</v>
      </c>
      <c r="Y369" s="1">
        <v>8</v>
      </c>
      <c r="Z369" s="1">
        <v>8</v>
      </c>
      <c r="AA369" s="18">
        <v>300</v>
      </c>
    </row>
    <row r="370" spans="24:27" x14ac:dyDescent="0.25">
      <c r="X370" s="1">
        <v>3</v>
      </c>
      <c r="Y370" s="1">
        <v>8</v>
      </c>
      <c r="Z370" s="1">
        <v>8</v>
      </c>
      <c r="AA370" s="18">
        <v>0</v>
      </c>
    </row>
    <row r="371" spans="24:27" x14ac:dyDescent="0.25">
      <c r="X371" s="1">
        <v>4</v>
      </c>
      <c r="Y371" s="1">
        <v>8</v>
      </c>
      <c r="Z371" s="1">
        <v>8</v>
      </c>
      <c r="AA371" s="18">
        <v>400</v>
      </c>
    </row>
    <row r="372" spans="24:27" x14ac:dyDescent="0.25">
      <c r="X372" s="1">
        <v>1</v>
      </c>
      <c r="Y372" s="1">
        <v>8</v>
      </c>
      <c r="Z372" s="1">
        <v>9</v>
      </c>
      <c r="AA372" s="18">
        <v>200</v>
      </c>
    </row>
    <row r="373" spans="24:27" x14ac:dyDescent="0.25">
      <c r="X373" s="1">
        <v>2</v>
      </c>
      <c r="Y373" s="1">
        <v>8</v>
      </c>
      <c r="Z373" s="1">
        <v>9</v>
      </c>
      <c r="AA373" s="18">
        <v>200</v>
      </c>
    </row>
    <row r="374" spans="24:27" x14ac:dyDescent="0.25">
      <c r="X374" s="1">
        <v>3</v>
      </c>
      <c r="Y374" s="1">
        <v>8</v>
      </c>
      <c r="Z374" s="1">
        <v>9</v>
      </c>
      <c r="AA374" s="18">
        <v>0</v>
      </c>
    </row>
    <row r="375" spans="24:27" x14ac:dyDescent="0.25">
      <c r="X375" s="1">
        <v>4</v>
      </c>
      <c r="Y375" s="1">
        <v>8</v>
      </c>
      <c r="Z375" s="1">
        <v>9</v>
      </c>
      <c r="AA375" s="18">
        <v>250</v>
      </c>
    </row>
    <row r="376" spans="24:27" x14ac:dyDescent="0.25">
      <c r="X376" s="1">
        <v>1</v>
      </c>
      <c r="Y376" s="1">
        <v>8</v>
      </c>
      <c r="Z376" s="1">
        <v>10</v>
      </c>
      <c r="AA376" s="18">
        <v>490</v>
      </c>
    </row>
    <row r="377" spans="24:27" x14ac:dyDescent="0.25">
      <c r="X377" s="1">
        <v>2</v>
      </c>
      <c r="Y377" s="1">
        <v>8</v>
      </c>
      <c r="Z377" s="1">
        <v>10</v>
      </c>
      <c r="AA377" s="18">
        <v>270</v>
      </c>
    </row>
    <row r="378" spans="24:27" x14ac:dyDescent="0.25">
      <c r="X378" s="1">
        <v>3</v>
      </c>
      <c r="Y378" s="1">
        <v>8</v>
      </c>
      <c r="Z378" s="1">
        <v>10</v>
      </c>
      <c r="AA378" s="18">
        <v>0</v>
      </c>
    </row>
    <row r="379" spans="24:27" x14ac:dyDescent="0.25">
      <c r="X379" s="1">
        <v>4</v>
      </c>
      <c r="Y379" s="1">
        <v>8</v>
      </c>
      <c r="Z379" s="1">
        <v>10</v>
      </c>
      <c r="AA379" s="18">
        <v>310</v>
      </c>
    </row>
    <row r="380" spans="24:27" x14ac:dyDescent="0.25">
      <c r="X380" s="1">
        <v>1</v>
      </c>
      <c r="Y380" s="1">
        <v>8</v>
      </c>
      <c r="Z380" s="1">
        <v>11</v>
      </c>
      <c r="AA380" s="18">
        <v>370</v>
      </c>
    </row>
    <row r="381" spans="24:27" x14ac:dyDescent="0.25">
      <c r="X381" s="1">
        <v>2</v>
      </c>
      <c r="Y381" s="1">
        <v>8</v>
      </c>
      <c r="Z381" s="1">
        <v>11</v>
      </c>
      <c r="AA381" s="18">
        <v>170</v>
      </c>
    </row>
    <row r="382" spans="24:27" x14ac:dyDescent="0.25">
      <c r="X382" s="1">
        <v>3</v>
      </c>
      <c r="Y382" s="1">
        <v>8</v>
      </c>
      <c r="Z382" s="1">
        <v>11</v>
      </c>
      <c r="AA382" s="18">
        <v>0</v>
      </c>
    </row>
    <row r="383" spans="24:27" x14ac:dyDescent="0.25">
      <c r="X383" s="1">
        <v>4</v>
      </c>
      <c r="Y383" s="1">
        <v>8</v>
      </c>
      <c r="Z383" s="1">
        <v>11</v>
      </c>
      <c r="AA383" s="18">
        <v>300</v>
      </c>
    </row>
    <row r="384" spans="24:27" x14ac:dyDescent="0.25">
      <c r="X384" s="1">
        <v>1</v>
      </c>
      <c r="Y384" s="1">
        <v>8</v>
      </c>
      <c r="Z384" s="1">
        <v>12</v>
      </c>
      <c r="AA384" s="18">
        <v>300</v>
      </c>
    </row>
    <row r="385" spans="24:27" x14ac:dyDescent="0.25">
      <c r="X385" s="1">
        <v>2</v>
      </c>
      <c r="Y385" s="1">
        <v>8</v>
      </c>
      <c r="Z385" s="1">
        <v>12</v>
      </c>
      <c r="AA385" s="18">
        <v>220</v>
      </c>
    </row>
    <row r="386" spans="24:27" x14ac:dyDescent="0.25">
      <c r="X386" s="1">
        <v>3</v>
      </c>
      <c r="Y386" s="1">
        <v>8</v>
      </c>
      <c r="Z386" s="1">
        <v>12</v>
      </c>
      <c r="AA386" s="18">
        <v>0</v>
      </c>
    </row>
    <row r="387" spans="24:27" x14ac:dyDescent="0.25">
      <c r="X387" s="1">
        <v>4</v>
      </c>
      <c r="Y387" s="1">
        <v>8</v>
      </c>
      <c r="Z387" s="1">
        <v>12</v>
      </c>
      <c r="AA387" s="18">
        <v>100</v>
      </c>
    </row>
  </sheetData>
  <mergeCells count="9">
    <mergeCell ref="AC2:AE2"/>
    <mergeCell ref="AG2:AI2"/>
    <mergeCell ref="AK2:AL2"/>
    <mergeCell ref="A2:D2"/>
    <mergeCell ref="F2:H2"/>
    <mergeCell ref="J2:L2"/>
    <mergeCell ref="N2:Q2"/>
    <mergeCell ref="S2:V2"/>
    <mergeCell ref="X2:AA2"/>
  </mergeCells>
  <dataValidations count="1">
    <dataValidation type="whole" operator="greaterThanOrEqual" showInputMessage="1" showErrorMessage="1" sqref="H4:H19" xr:uid="{00000000-0002-0000-0100-000000000000}">
      <formula1>0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P28"/>
  <sheetViews>
    <sheetView topLeftCell="A10" workbookViewId="0">
      <selection activeCell="G18" sqref="G18"/>
    </sheetView>
  </sheetViews>
  <sheetFormatPr baseColWidth="10" defaultRowHeight="15" x14ac:dyDescent="0.25"/>
  <cols>
    <col min="2" max="2" width="16.42578125" style="29" bestFit="1" customWidth="1"/>
    <col min="3" max="4" width="10.5703125" style="29" bestFit="1" customWidth="1"/>
    <col min="5" max="5" width="7" style="29" bestFit="1" customWidth="1"/>
    <col min="6" max="6" width="8.85546875" style="29" customWidth="1"/>
    <col min="7" max="7" width="7" style="29" customWidth="1"/>
    <col min="8" max="8" width="6.7109375" style="29" customWidth="1"/>
    <col min="9" max="9" width="7.42578125" style="29" customWidth="1"/>
    <col min="10" max="10" width="7.85546875" style="29" customWidth="1"/>
    <col min="11" max="11" width="16.5703125" style="29" bestFit="1" customWidth="1"/>
    <col min="12" max="12" width="21.85546875" style="29" bestFit="1" customWidth="1"/>
    <col min="13" max="13" width="15.5703125" style="29" bestFit="1" customWidth="1"/>
  </cols>
  <sheetData>
    <row r="2" spans="2:16" x14ac:dyDescent="0.25">
      <c r="B2" s="49" t="s">
        <v>24</v>
      </c>
      <c r="C2" s="48"/>
      <c r="D2" s="48"/>
      <c r="E2" s="48"/>
      <c r="F2" s="48"/>
      <c r="G2" s="48"/>
      <c r="H2" s="48"/>
      <c r="I2" s="48"/>
      <c r="J2" s="47"/>
      <c r="L2" s="49" t="s">
        <v>25</v>
      </c>
      <c r="M2" s="48"/>
      <c r="N2" s="48"/>
      <c r="O2" s="48"/>
      <c r="P2" s="47"/>
    </row>
    <row r="3" spans="2:16" x14ac:dyDescent="0.25">
      <c r="B3" s="44" t="s">
        <v>26</v>
      </c>
      <c r="C3" s="44" t="s">
        <v>27</v>
      </c>
      <c r="D3" s="44" t="s">
        <v>28</v>
      </c>
      <c r="E3" s="44" t="s">
        <v>29</v>
      </c>
      <c r="F3" s="44" t="s">
        <v>30</v>
      </c>
      <c r="G3" s="44" t="s">
        <v>31</v>
      </c>
      <c r="H3" s="44" t="s">
        <v>32</v>
      </c>
      <c r="I3" s="44" t="s">
        <v>33</v>
      </c>
      <c r="J3" s="44" t="s">
        <v>34</v>
      </c>
      <c r="L3" s="44" t="s">
        <v>35</v>
      </c>
      <c r="M3" s="44" t="s">
        <v>36</v>
      </c>
      <c r="N3" s="44" t="s">
        <v>37</v>
      </c>
      <c r="O3" s="44" t="s">
        <v>38</v>
      </c>
      <c r="P3" s="44" t="s">
        <v>39</v>
      </c>
    </row>
    <row r="4" spans="2:16" x14ac:dyDescent="0.25">
      <c r="B4" s="44" t="s">
        <v>36</v>
      </c>
      <c r="C4" s="24">
        <f>Resultados_s1!B4</f>
        <v>10020</v>
      </c>
      <c r="D4" s="24">
        <f>Resultados_s1!C4</f>
        <v>700</v>
      </c>
      <c r="E4" s="24">
        <f>Resultados_s1!D4</f>
        <v>9219.0500000000029</v>
      </c>
      <c r="F4" s="24">
        <f>Resultados_s1!E4</f>
        <v>0</v>
      </c>
      <c r="G4" s="24">
        <f>Resultados_s1!F4</f>
        <v>1400</v>
      </c>
      <c r="H4" s="24">
        <f>Resultados_s1!G4</f>
        <v>700</v>
      </c>
      <c r="I4" s="24">
        <f>Resultados_s1!H4</f>
        <v>0</v>
      </c>
      <c r="J4" s="24">
        <f>Resultados_s1!I4</f>
        <v>5010</v>
      </c>
      <c r="L4" s="44" t="s">
        <v>40</v>
      </c>
      <c r="M4" s="24">
        <f>Resultados_r1!B4</f>
        <v>20550</v>
      </c>
      <c r="N4" s="24">
        <f>Resultados_r1!C4</f>
        <v>19960</v>
      </c>
      <c r="O4" s="24">
        <f>Resultados_r1!D4</f>
        <v>13830</v>
      </c>
      <c r="P4" s="24">
        <f>Resultados_r1!E4</f>
        <v>2000</v>
      </c>
    </row>
    <row r="5" spans="2:16" x14ac:dyDescent="0.25">
      <c r="B5" s="44" t="s">
        <v>37</v>
      </c>
      <c r="C5" s="24">
        <f>Resultados_s1!B5</f>
        <v>7120</v>
      </c>
      <c r="D5" s="24">
        <f>Resultados_s1!C5</f>
        <v>400</v>
      </c>
      <c r="E5" s="24">
        <f>Resultados_s1!D5</f>
        <v>0</v>
      </c>
      <c r="F5" s="24">
        <f>Resultados_s1!E5</f>
        <v>3560</v>
      </c>
      <c r="G5" s="24">
        <f>Resultados_s1!F5</f>
        <v>400</v>
      </c>
      <c r="H5" s="24">
        <f>Resultados_s1!G5</f>
        <v>7120</v>
      </c>
      <c r="I5" s="24">
        <f>Resultados_s1!H5</f>
        <v>0</v>
      </c>
      <c r="J5" s="24">
        <f>Resultados_s1!I5</f>
        <v>3560</v>
      </c>
      <c r="L5" s="44" t="s">
        <v>41</v>
      </c>
      <c r="M5" s="24">
        <f>Resultados_r1!B5</f>
        <v>199.05000000000291</v>
      </c>
      <c r="N5" s="24">
        <f>Resultados_r1!C5</f>
        <v>0</v>
      </c>
      <c r="O5" s="24">
        <f>Resultados_r1!D5</f>
        <v>0</v>
      </c>
      <c r="P5" s="24">
        <f>Resultados_r1!E5</f>
        <v>17220</v>
      </c>
    </row>
    <row r="6" spans="2:16" x14ac:dyDescent="0.25">
      <c r="B6" s="44" t="s">
        <v>38</v>
      </c>
      <c r="C6" s="24">
        <f>Resultados_s1!B6</f>
        <v>4710</v>
      </c>
      <c r="D6" s="24">
        <f>Resultados_s1!C6</f>
        <v>300</v>
      </c>
      <c r="E6" s="24">
        <f>Resultados_s1!D6</f>
        <v>9420</v>
      </c>
      <c r="F6" s="24">
        <f>Resultados_s1!E6</f>
        <v>0</v>
      </c>
      <c r="G6" s="24">
        <f>Resultados_s1!F6</f>
        <v>150</v>
      </c>
      <c r="H6" s="24">
        <f>Resultados_s1!G6</f>
        <v>100</v>
      </c>
      <c r="I6" s="24">
        <f>Resultados_s1!H6</f>
        <v>150</v>
      </c>
      <c r="J6" s="24">
        <f>Resultados_s1!I6</f>
        <v>0</v>
      </c>
      <c r="L6" s="44" t="s">
        <v>42</v>
      </c>
      <c r="M6" s="24">
        <f>Resultados_r1!B6</f>
        <v>0</v>
      </c>
      <c r="N6" s="24">
        <f>Resultados_r1!C6</f>
        <v>200</v>
      </c>
      <c r="O6" s="24">
        <f>Resultados_r1!D6</f>
        <v>0</v>
      </c>
      <c r="P6" s="24">
        <f>Resultados_r1!E6</f>
        <v>1000</v>
      </c>
    </row>
    <row r="7" spans="2:16" x14ac:dyDescent="0.25">
      <c r="B7" s="44" t="s">
        <v>39</v>
      </c>
      <c r="C7" s="24">
        <f>Resultados_s1!B7</f>
        <v>3670</v>
      </c>
      <c r="D7" s="24">
        <f>Resultados_s1!C7</f>
        <v>600</v>
      </c>
      <c r="E7" s="24">
        <f>Resultados_s1!D7</f>
        <v>3670</v>
      </c>
      <c r="F7" s="24">
        <f>Resultados_s1!E7</f>
        <v>3670</v>
      </c>
      <c r="G7" s="24">
        <f>Resultados_s1!F7</f>
        <v>300</v>
      </c>
      <c r="H7" s="24">
        <f>Resultados_s1!G7</f>
        <v>7340</v>
      </c>
      <c r="I7" s="24">
        <f>Resultados_s1!H7</f>
        <v>300</v>
      </c>
      <c r="J7" s="24">
        <f>Resultados_s1!I7</f>
        <v>3670</v>
      </c>
      <c r="L7" s="44" t="s">
        <v>43</v>
      </c>
      <c r="M7" s="24">
        <f>Resultados_r1!B7</f>
        <v>0</v>
      </c>
      <c r="N7" s="24">
        <f>Resultados_r1!C7</f>
        <v>0</v>
      </c>
      <c r="O7" s="24">
        <f>Resultados_r1!D7</f>
        <v>0</v>
      </c>
      <c r="P7" s="24">
        <f>Resultados_r1!E7</f>
        <v>0</v>
      </c>
    </row>
    <row r="10" spans="2:16" x14ac:dyDescent="0.25">
      <c r="B10" s="49" t="s">
        <v>44</v>
      </c>
      <c r="C10" s="48"/>
      <c r="D10" s="48"/>
      <c r="E10" s="48"/>
      <c r="F10" s="48"/>
      <c r="G10" s="48"/>
      <c r="H10" s="48"/>
      <c r="I10" s="48"/>
      <c r="J10" s="47"/>
      <c r="L10" s="49" t="s">
        <v>45</v>
      </c>
      <c r="M10" s="48"/>
      <c r="N10" s="48"/>
      <c r="O10" s="48"/>
      <c r="P10" s="47"/>
    </row>
    <row r="11" spans="2:16" x14ac:dyDescent="0.25">
      <c r="B11" s="44" t="s">
        <v>26</v>
      </c>
      <c r="C11" s="44" t="s">
        <v>27</v>
      </c>
      <c r="D11" s="44" t="s">
        <v>28</v>
      </c>
      <c r="E11" s="44" t="s">
        <v>29</v>
      </c>
      <c r="F11" s="44" t="s">
        <v>30</v>
      </c>
      <c r="G11" s="44" t="s">
        <v>31</v>
      </c>
      <c r="H11" s="44" t="s">
        <v>32</v>
      </c>
      <c r="I11" s="44" t="s">
        <v>33</v>
      </c>
      <c r="J11" s="44" t="s">
        <v>34</v>
      </c>
      <c r="L11" s="44" t="s">
        <v>35</v>
      </c>
      <c r="M11" s="44" t="s">
        <v>36</v>
      </c>
      <c r="N11" s="44" t="s">
        <v>37</v>
      </c>
      <c r="O11" s="44" t="s">
        <v>38</v>
      </c>
      <c r="P11" s="44" t="s">
        <v>39</v>
      </c>
    </row>
    <row r="12" spans="2:16" x14ac:dyDescent="0.25">
      <c r="B12" s="44" t="s">
        <v>36</v>
      </c>
      <c r="C12" s="24">
        <f>Resultados_s2!B4</f>
        <v>0</v>
      </c>
      <c r="D12" s="24">
        <f>Resultados_s2!C4</f>
        <v>4310</v>
      </c>
      <c r="E12" s="24">
        <f>Resultados_s2!D4</f>
        <v>800.94999999999709</v>
      </c>
      <c r="F12" s="24">
        <f>Resultados_s2!E4</f>
        <v>0</v>
      </c>
      <c r="G12" s="24">
        <f>Resultados_s2!F4</f>
        <v>8620</v>
      </c>
      <c r="H12" s="24">
        <f>Resultados_s2!G4</f>
        <v>4310</v>
      </c>
      <c r="I12" s="24">
        <f>Resultados_s2!H4</f>
        <v>5010</v>
      </c>
      <c r="J12" s="24">
        <f>Resultados_s2!I4</f>
        <v>0</v>
      </c>
      <c r="L12" s="44" t="s">
        <v>40</v>
      </c>
      <c r="M12" s="25">
        <f>Resultados_r2!B4</f>
        <v>15650</v>
      </c>
      <c r="N12" s="25">
        <f>Resultados_r2!C4</f>
        <v>10640</v>
      </c>
      <c r="O12" s="25">
        <f>Resultados_r2!D4</f>
        <v>32270</v>
      </c>
      <c r="P12" s="25">
        <f>Resultados_r2!E4</f>
        <v>0</v>
      </c>
    </row>
    <row r="13" spans="2:16" x14ac:dyDescent="0.25">
      <c r="B13" s="44" t="s">
        <v>37</v>
      </c>
      <c r="C13" s="24">
        <f>Resultados_s2!B5</f>
        <v>0</v>
      </c>
      <c r="D13" s="24">
        <f>Resultados_s2!C5</f>
        <v>6720</v>
      </c>
      <c r="E13" s="24">
        <f>Resultados_s2!D5</f>
        <v>0</v>
      </c>
      <c r="F13" s="24">
        <f>Resultados_s2!E5</f>
        <v>0</v>
      </c>
      <c r="G13" s="24">
        <f>Resultados_s2!F5</f>
        <v>6720</v>
      </c>
      <c r="H13" s="24">
        <f>Resultados_s2!G5</f>
        <v>0</v>
      </c>
      <c r="I13" s="24">
        <f>Resultados_s2!H5</f>
        <v>0</v>
      </c>
      <c r="J13" s="24">
        <f>Resultados_s2!I5</f>
        <v>0</v>
      </c>
      <c r="L13" s="44" t="s">
        <v>41</v>
      </c>
      <c r="M13" s="25">
        <f>Resultados_r2!B5</f>
        <v>2800.9499999999971</v>
      </c>
      <c r="N13" s="25">
        <f>Resultados_r2!C5</f>
        <v>2000</v>
      </c>
      <c r="O13" s="25">
        <f>Resultados_r2!D5</f>
        <v>0</v>
      </c>
      <c r="P13" s="25">
        <f>Resultados_r2!E5</f>
        <v>13480</v>
      </c>
    </row>
    <row r="14" spans="2:16" x14ac:dyDescent="0.25">
      <c r="B14" s="44" t="s">
        <v>38</v>
      </c>
      <c r="C14" s="24">
        <f>Resultados_s2!B6</f>
        <v>0</v>
      </c>
      <c r="D14" s="24">
        <f>Resultados_s2!C6</f>
        <v>13830</v>
      </c>
      <c r="E14" s="24">
        <f>Resultados_s2!D6</f>
        <v>0</v>
      </c>
      <c r="F14" s="24">
        <f>Resultados_s2!E6</f>
        <v>0</v>
      </c>
      <c r="G14" s="24">
        <f>Resultados_s2!F6</f>
        <v>6915</v>
      </c>
      <c r="H14" s="24">
        <f>Resultados_s2!G6</f>
        <v>4610</v>
      </c>
      <c r="I14" s="24">
        <f>Resultados_s2!H6</f>
        <v>6915</v>
      </c>
      <c r="J14" s="24">
        <f>Resultados_s2!I6</f>
        <v>0</v>
      </c>
      <c r="L14" s="44" t="s">
        <v>42</v>
      </c>
      <c r="M14" s="25">
        <f>Resultados_r2!B6</f>
        <v>3900</v>
      </c>
      <c r="N14" s="25">
        <f>Resultados_r2!C6</f>
        <v>800</v>
      </c>
      <c r="O14" s="25">
        <f>Resultados_r2!D6</f>
        <v>0</v>
      </c>
      <c r="P14" s="25">
        <f>Resultados_r2!E6</f>
        <v>0</v>
      </c>
    </row>
    <row r="15" spans="2:16" x14ac:dyDescent="0.25">
      <c r="B15" s="44" t="s">
        <v>39</v>
      </c>
      <c r="C15" s="24">
        <f>Resultados_s2!B7</f>
        <v>0</v>
      </c>
      <c r="D15" s="24">
        <f>Resultados_s2!C7</f>
        <v>6740</v>
      </c>
      <c r="E15" s="24">
        <f>Resultados_s2!D7</f>
        <v>0</v>
      </c>
      <c r="F15" s="24">
        <f>Resultados_s2!E7</f>
        <v>0</v>
      </c>
      <c r="G15" s="24">
        <f>Resultados_s2!F7</f>
        <v>3370</v>
      </c>
      <c r="H15" s="24">
        <f>Resultados_s2!G7</f>
        <v>0</v>
      </c>
      <c r="I15" s="24">
        <f>Resultados_s2!H7</f>
        <v>3370</v>
      </c>
      <c r="J15" s="24">
        <f>Resultados_s2!I7</f>
        <v>0</v>
      </c>
      <c r="L15" s="44" t="s">
        <v>43</v>
      </c>
      <c r="M15" s="25">
        <f>Resultados_r2!B7</f>
        <v>0</v>
      </c>
      <c r="N15" s="25">
        <f>Resultados_r2!C7</f>
        <v>0</v>
      </c>
      <c r="O15" s="25">
        <f>Resultados_r2!D7</f>
        <v>0</v>
      </c>
      <c r="P15" s="25">
        <f>Resultados_r2!E7</f>
        <v>0</v>
      </c>
    </row>
    <row r="17" spans="2:14" x14ac:dyDescent="0.25">
      <c r="B17" s="49" t="s">
        <v>46</v>
      </c>
      <c r="C17" s="48"/>
      <c r="D17" s="47"/>
      <c r="L17" s="49" t="s">
        <v>47</v>
      </c>
      <c r="M17" s="47"/>
    </row>
    <row r="18" spans="2:14" x14ac:dyDescent="0.25">
      <c r="B18" s="44" t="s">
        <v>48</v>
      </c>
      <c r="C18" s="44" t="s">
        <v>49</v>
      </c>
      <c r="D18" s="44" t="s">
        <v>50</v>
      </c>
      <c r="L18" s="44" t="s">
        <v>51</v>
      </c>
      <c r="M18" s="26">
        <f>Resultados_k!B4</f>
        <v>36386814.461364098</v>
      </c>
    </row>
    <row r="19" spans="2:14" x14ac:dyDescent="0.25">
      <c r="B19" s="44" t="s">
        <v>36</v>
      </c>
      <c r="C19" s="28">
        <f>Resultados_y!B4</f>
        <v>13700</v>
      </c>
      <c r="D19" s="28">
        <f>Resultados_y!C4</f>
        <v>19300</v>
      </c>
      <c r="G19" s="3"/>
      <c r="L19" s="44" t="s">
        <v>52</v>
      </c>
      <c r="M19" s="26">
        <f>Resultados_k!B5</f>
        <v>639868.09499999997</v>
      </c>
    </row>
    <row r="20" spans="2:14" x14ac:dyDescent="0.25">
      <c r="B20" s="44" t="s">
        <v>37</v>
      </c>
      <c r="C20" s="28">
        <f>Resultados_y!B5</f>
        <v>18000</v>
      </c>
      <c r="D20" s="28">
        <f>Resultados_y!C5</f>
        <v>20000</v>
      </c>
      <c r="G20" s="3"/>
      <c r="L20" s="44" t="s">
        <v>53</v>
      </c>
      <c r="M20" s="26">
        <f>Resultados_k!B6</f>
        <v>30010874.776344091</v>
      </c>
    </row>
    <row r="21" spans="2:14" x14ac:dyDescent="0.25">
      <c r="B21" s="44" t="s">
        <v>38</v>
      </c>
      <c r="C21" s="28">
        <f>Resultados_y!B6</f>
        <v>19000</v>
      </c>
      <c r="D21" s="28">
        <f>Resultados_y!C6</f>
        <v>20000</v>
      </c>
      <c r="L21" s="44" t="s">
        <v>54</v>
      </c>
      <c r="M21" s="26">
        <f>Resultados_k!B7</f>
        <v>5736071.5900200037</v>
      </c>
    </row>
    <row r="22" spans="2:14" x14ac:dyDescent="0.25">
      <c r="B22" s="44" t="s">
        <v>39</v>
      </c>
      <c r="C22" s="28">
        <f>Resultados_y!B7</f>
        <v>17000</v>
      </c>
      <c r="D22" s="28">
        <f>Resultados_y!C7</f>
        <v>20000</v>
      </c>
    </row>
    <row r="23" spans="2:14" x14ac:dyDescent="0.25">
      <c r="L23" s="46" t="s">
        <v>55</v>
      </c>
      <c r="M23" s="48"/>
      <c r="N23" s="47"/>
    </row>
    <row r="24" spans="2:14" x14ac:dyDescent="0.25">
      <c r="B24" s="49" t="s">
        <v>56</v>
      </c>
      <c r="C24" s="48"/>
      <c r="D24" s="48"/>
      <c r="E24" s="48"/>
      <c r="F24" s="48"/>
      <c r="G24" s="48"/>
      <c r="H24" s="48"/>
      <c r="I24" s="48"/>
      <c r="J24" s="47"/>
      <c r="L24" s="41" t="s">
        <v>57</v>
      </c>
      <c r="M24" s="44" t="s">
        <v>49</v>
      </c>
      <c r="N24" s="44" t="s">
        <v>50</v>
      </c>
    </row>
    <row r="25" spans="2:14" x14ac:dyDescent="0.25">
      <c r="B25" s="44" t="s">
        <v>58</v>
      </c>
      <c r="C25" s="41" t="s">
        <v>27</v>
      </c>
      <c r="D25" s="41" t="s">
        <v>28</v>
      </c>
      <c r="E25" s="41" t="s">
        <v>29</v>
      </c>
      <c r="F25" s="41" t="s">
        <v>30</v>
      </c>
      <c r="G25" s="41" t="s">
        <v>31</v>
      </c>
      <c r="H25" s="41" t="s">
        <v>32</v>
      </c>
      <c r="I25" s="41" t="s">
        <v>33</v>
      </c>
      <c r="J25" s="41" t="s">
        <v>34</v>
      </c>
      <c r="L25" s="41" t="s">
        <v>36</v>
      </c>
      <c r="M25" s="27">
        <f>SUM(C4:J4)/(SUM(C4:J4)+SUM(C12:J12))</f>
        <v>0.53990119760479049</v>
      </c>
      <c r="N25" s="27">
        <f>SUM(C12:J12)/(SUM(C4:J4)+SUM(C12:J12))</f>
        <v>0.46009880239520951</v>
      </c>
    </row>
    <row r="26" spans="2:14" x14ac:dyDescent="0.25">
      <c r="B26" s="44" t="s">
        <v>49</v>
      </c>
      <c r="C26" s="30">
        <f t="shared" ref="C26:J26" si="0">SUM(C4:C7)/(SUM(C4:C7)+SUM(C12:C15))</f>
        <v>1</v>
      </c>
      <c r="D26" s="30">
        <f t="shared" si="0"/>
        <v>5.9523809523809521E-2</v>
      </c>
      <c r="E26" s="30">
        <f t="shared" si="0"/>
        <v>0.96534184335785389</v>
      </c>
      <c r="F26" s="30">
        <f t="shared" si="0"/>
        <v>1</v>
      </c>
      <c r="G26" s="30">
        <f t="shared" si="0"/>
        <v>8.0717488789237665E-2</v>
      </c>
      <c r="H26" s="30">
        <f t="shared" si="0"/>
        <v>0.6311000827129859</v>
      </c>
      <c r="I26" s="30">
        <f t="shared" si="0"/>
        <v>2.8580501746586218E-2</v>
      </c>
      <c r="J26" s="30">
        <f t="shared" si="0"/>
        <v>1</v>
      </c>
      <c r="L26" s="41" t="s">
        <v>37</v>
      </c>
      <c r="M26" s="27">
        <f>SUM(C5:J5)/(SUM(C5:J5)+SUM(C13:J13))</f>
        <v>0.62247191011235958</v>
      </c>
      <c r="N26" s="27">
        <f>SUM(C13:J13)/(SUM(C5:J5)+SUM(C13:J13))</f>
        <v>0.37752808988764047</v>
      </c>
    </row>
    <row r="27" spans="2:14" x14ac:dyDescent="0.25">
      <c r="B27" s="44" t="s">
        <v>50</v>
      </c>
      <c r="C27" s="30">
        <f t="shared" ref="C27:J27" si="1">SUM(C12:C15)/(SUM(C4:C7)+SUM(C12:C15))</f>
        <v>0</v>
      </c>
      <c r="D27" s="30">
        <f t="shared" si="1"/>
        <v>0.94047619047619047</v>
      </c>
      <c r="E27" s="30">
        <f t="shared" si="1"/>
        <v>3.465815664214613E-2</v>
      </c>
      <c r="F27" s="30">
        <f t="shared" si="1"/>
        <v>0</v>
      </c>
      <c r="G27" s="30">
        <f t="shared" si="1"/>
        <v>0.91928251121076232</v>
      </c>
      <c r="H27" s="30">
        <f t="shared" si="1"/>
        <v>0.36889991728701405</v>
      </c>
      <c r="I27" s="30">
        <f t="shared" si="1"/>
        <v>0.97141949825341378</v>
      </c>
      <c r="J27" s="30">
        <f t="shared" si="1"/>
        <v>0</v>
      </c>
      <c r="L27" s="41" t="s">
        <v>38</v>
      </c>
      <c r="M27" s="27">
        <f>SUM(C6:J6)/(SUM(C6:J6)+SUM(C14:J14))</f>
        <v>0.31486199575371548</v>
      </c>
      <c r="N27" s="27">
        <f>SUM(C14:J14)/(SUM(C6:J6)+SUM(C14:J14))</f>
        <v>0.68513800424628446</v>
      </c>
    </row>
    <row r="28" spans="2:14" x14ac:dyDescent="0.25">
      <c r="L28" s="41" t="s">
        <v>39</v>
      </c>
      <c r="M28" s="27">
        <f>SUM(C7:J7)/(SUM(C7:J7)+SUM(C15:J15))</f>
        <v>0.63269754768392372</v>
      </c>
      <c r="N28" s="27">
        <f>SUM(C15:J15)/(SUM(C7:J7)+SUM(C15:J15))</f>
        <v>0.36730245231607628</v>
      </c>
    </row>
  </sheetData>
  <mergeCells count="8">
    <mergeCell ref="B24:J24"/>
    <mergeCell ref="L23:N23"/>
    <mergeCell ref="L2:P2"/>
    <mergeCell ref="L10:P10"/>
    <mergeCell ref="B17:D17"/>
    <mergeCell ref="L17:M17"/>
    <mergeCell ref="B2:J2"/>
    <mergeCell ref="B10:J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B1:Q46"/>
  <sheetViews>
    <sheetView topLeftCell="J13" workbookViewId="0">
      <selection activeCell="Q4" sqref="Q4:Q35"/>
    </sheetView>
  </sheetViews>
  <sheetFormatPr baseColWidth="10" defaultRowHeight="15" x14ac:dyDescent="0.25"/>
  <cols>
    <col min="2" max="2" width="17.28515625" style="29" bestFit="1" customWidth="1"/>
    <col min="15" max="15" width="36.85546875" style="29" bestFit="1" customWidth="1"/>
    <col min="16" max="16" width="43" style="29" bestFit="1" customWidth="1"/>
    <col min="17" max="17" width="46" style="29" bestFit="1" customWidth="1"/>
  </cols>
  <sheetData>
    <row r="1" spans="2:17" ht="15.75" customHeight="1" thickBot="1" x14ac:dyDescent="0.3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2:17" x14ac:dyDescent="0.25">
      <c r="B2" s="49" t="s">
        <v>59</v>
      </c>
      <c r="C2" s="48"/>
      <c r="D2" s="48"/>
      <c r="E2" s="48"/>
      <c r="F2" s="48"/>
      <c r="G2" s="48"/>
      <c r="H2" s="48"/>
      <c r="I2" s="48"/>
      <c r="J2" s="47"/>
      <c r="K2" s="31"/>
      <c r="L2" s="46" t="s">
        <v>60</v>
      </c>
      <c r="M2" s="48"/>
      <c r="N2" s="48"/>
      <c r="O2" s="47"/>
      <c r="P2" s="50" t="s">
        <v>61</v>
      </c>
      <c r="Q2" s="51"/>
    </row>
    <row r="3" spans="2:17" x14ac:dyDescent="0.25">
      <c r="B3" s="44" t="s">
        <v>26</v>
      </c>
      <c r="C3" s="44" t="s">
        <v>27</v>
      </c>
      <c r="D3" s="44" t="s">
        <v>28</v>
      </c>
      <c r="E3" s="44" t="s">
        <v>29</v>
      </c>
      <c r="F3" s="44" t="s">
        <v>30</v>
      </c>
      <c r="G3" s="44" t="s">
        <v>31</v>
      </c>
      <c r="H3" s="44" t="s">
        <v>32</v>
      </c>
      <c r="I3" s="44" t="s">
        <v>33</v>
      </c>
      <c r="J3" s="44" t="s">
        <v>34</v>
      </c>
      <c r="K3" s="31"/>
      <c r="L3" s="41" t="s">
        <v>10</v>
      </c>
      <c r="M3" s="41" t="s">
        <v>17</v>
      </c>
      <c r="N3" s="41" t="s">
        <v>19</v>
      </c>
      <c r="O3" s="32" t="s">
        <v>20</v>
      </c>
      <c r="P3" s="34" t="s">
        <v>62</v>
      </c>
      <c r="Q3" s="35" t="s">
        <v>63</v>
      </c>
    </row>
    <row r="4" spans="2:17" x14ac:dyDescent="0.25">
      <c r="B4" s="44" t="s">
        <v>36</v>
      </c>
      <c r="C4" s="45">
        <f>IFERROR(ROUND('Tabla de resultados'!C4/('Tabla de resultados'!C4+'Tabla de resultados'!C12),2),0)</f>
        <v>1</v>
      </c>
      <c r="D4" s="45">
        <f>IFERROR(ROUND('Tabla de resultados'!D4/('Tabla de resultados'!D4+'Tabla de resultados'!D12),2),0)</f>
        <v>0.14000000000000001</v>
      </c>
      <c r="E4" s="45">
        <f>IFERROR(ROUND('Tabla de resultados'!E4/('Tabla de resultados'!E4+'Tabla de resultados'!E12),2),0)</f>
        <v>0.92</v>
      </c>
      <c r="F4" s="45">
        <f>IFERROR(ROUND('Tabla de resultados'!F4/('Tabla de resultados'!F4+'Tabla de resultados'!F12),2),0)</f>
        <v>0</v>
      </c>
      <c r="G4" s="45">
        <f>IFERROR(ROUND('Tabla de resultados'!G4/('Tabla de resultados'!G4+'Tabla de resultados'!G12),2),0)</f>
        <v>0.14000000000000001</v>
      </c>
      <c r="H4" s="45">
        <f>IFERROR(ROUND('Tabla de resultados'!H4/('Tabla de resultados'!H4+'Tabla de resultados'!H12),2),0)</f>
        <v>0.14000000000000001</v>
      </c>
      <c r="I4" s="45">
        <f>IFERROR(ROUND('Tabla de resultados'!I4/('Tabla de resultados'!I4+'Tabla de resultados'!I12),2),0)</f>
        <v>0</v>
      </c>
      <c r="J4" s="45">
        <f>IFERROR(ROUND('Tabla de resultados'!J4/('Tabla de resultados'!J4+'Tabla de resultados'!J12),2),0)</f>
        <v>1</v>
      </c>
      <c r="K4" s="31"/>
      <c r="L4" s="1">
        <v>1</v>
      </c>
      <c r="M4" s="1">
        <v>1</v>
      </c>
      <c r="N4" s="1">
        <v>1</v>
      </c>
      <c r="O4" s="33" t="s">
        <v>64</v>
      </c>
      <c r="P4" s="36" t="str">
        <f t="shared" ref="P4:P35" si="0">"("&amp;O4&amp;")*"&amp;VLOOKUP("P"&amp;L4,$B$19:$J$22,1+M4,FALSE)</f>
        <v>(0.2 * WEIB(4124.6, 2.79) / 30)*1.</v>
      </c>
      <c r="Q4" s="37" t="str">
        <f t="shared" ref="Q4:Q35" si="1">"("&amp;O4&amp;")*"&amp;VLOOKUP("P"&amp;L4,$B$26:$J$29,1+M4,FALSE)</f>
        <v>(0.2 * WEIB(4124.6, 2.79) / 30)*0.</v>
      </c>
    </row>
    <row r="5" spans="2:17" x14ac:dyDescent="0.25">
      <c r="B5" s="44" t="s">
        <v>37</v>
      </c>
      <c r="C5" s="45">
        <f>IFERROR(ROUND('Tabla de resultados'!C5/('Tabla de resultados'!C5+'Tabla de resultados'!C13),2),0)</f>
        <v>1</v>
      </c>
      <c r="D5" s="45">
        <f>IFERROR(ROUND('Tabla de resultados'!D5/('Tabla de resultados'!D5+'Tabla de resultados'!D13),2),0)</f>
        <v>0.06</v>
      </c>
      <c r="E5" s="45">
        <f>IFERROR(ROUND('Tabla de resultados'!E5/('Tabla de resultados'!E5+'Tabla de resultados'!E13),2),0)</f>
        <v>0</v>
      </c>
      <c r="F5" s="45">
        <f>IFERROR(ROUND('Tabla de resultados'!F5/('Tabla de resultados'!F5+'Tabla de resultados'!F13),2),0)</f>
        <v>1</v>
      </c>
      <c r="G5" s="45">
        <f>IFERROR(ROUND('Tabla de resultados'!G5/('Tabla de resultados'!G5+'Tabla de resultados'!G13),2),0)</f>
        <v>0.06</v>
      </c>
      <c r="H5" s="45">
        <f>IFERROR(ROUND('Tabla de resultados'!H5/('Tabla de resultados'!H5+'Tabla de resultados'!H13),2),0)</f>
        <v>1</v>
      </c>
      <c r="I5" s="45">
        <f>IFERROR(ROUND('Tabla de resultados'!I5/('Tabla de resultados'!I5+'Tabla de resultados'!I13),2),0)</f>
        <v>0</v>
      </c>
      <c r="J5" s="45">
        <f>IFERROR(ROUND('Tabla de resultados'!J5/('Tabla de resultados'!J5+'Tabla de resultados'!J13),2),0)</f>
        <v>1</v>
      </c>
      <c r="K5" s="31"/>
      <c r="L5" s="1">
        <v>2</v>
      </c>
      <c r="M5" s="1">
        <v>1</v>
      </c>
      <c r="N5" s="1">
        <v>1</v>
      </c>
      <c r="O5" s="33" t="s">
        <v>65</v>
      </c>
      <c r="P5" s="36" t="str">
        <f t="shared" si="0"/>
        <v>(0.2*WEIB(2886.8,3.68)/30)*1.</v>
      </c>
      <c r="Q5" s="37" t="str">
        <f t="shared" si="1"/>
        <v>(0.2*WEIB(2886.8,3.68)/30)*0.</v>
      </c>
    </row>
    <row r="6" spans="2:17" x14ac:dyDescent="0.25">
      <c r="B6" s="44" t="s">
        <v>38</v>
      </c>
      <c r="C6" s="45">
        <f>IFERROR(ROUND('Tabla de resultados'!C6/('Tabla de resultados'!C6+'Tabla de resultados'!C14),2),0)</f>
        <v>1</v>
      </c>
      <c r="D6" s="45">
        <f>IFERROR(ROUND('Tabla de resultados'!D6/('Tabla de resultados'!D6+'Tabla de resultados'!D14),2),0)</f>
        <v>0.02</v>
      </c>
      <c r="E6" s="45">
        <f>IFERROR(ROUND('Tabla de resultados'!E6/('Tabla de resultados'!E6+'Tabla de resultados'!E14),2),0)</f>
        <v>1</v>
      </c>
      <c r="F6" s="45">
        <f>IFERROR(ROUND('Tabla de resultados'!F6/('Tabla de resultados'!F6+'Tabla de resultados'!F14),2),0)</f>
        <v>0</v>
      </c>
      <c r="G6" s="45">
        <f>IFERROR(ROUND('Tabla de resultados'!G6/('Tabla de resultados'!G6+'Tabla de resultados'!G14),2),0)</f>
        <v>0.02</v>
      </c>
      <c r="H6" s="45">
        <f>IFERROR(ROUND('Tabla de resultados'!H6/('Tabla de resultados'!H6+'Tabla de resultados'!H14),2),0)</f>
        <v>0.02</v>
      </c>
      <c r="I6" s="45">
        <f>IFERROR(ROUND('Tabla de resultados'!I6/('Tabla de resultados'!I6+'Tabla de resultados'!I14),2),0)</f>
        <v>0.02</v>
      </c>
      <c r="J6" s="45">
        <f>IFERROR(ROUND('Tabla de resultados'!J6/('Tabla de resultados'!J6+'Tabla de resultados'!J14),2),0)</f>
        <v>0</v>
      </c>
      <c r="K6" s="31"/>
      <c r="L6" s="1">
        <v>3</v>
      </c>
      <c r="M6" s="1">
        <v>1</v>
      </c>
      <c r="N6" s="1">
        <v>1</v>
      </c>
      <c r="O6" s="33" t="s">
        <v>66</v>
      </c>
      <c r="P6" s="36" t="str">
        <f t="shared" si="0"/>
        <v>(0.1*JOHN(-0.42,0.87,7133.7,-314.13)/30)*1.</v>
      </c>
      <c r="Q6" s="37" t="str">
        <f t="shared" si="1"/>
        <v>(0.1*JOHN(-0.42,0.87,7133.7,-314.13)/30)*0.</v>
      </c>
    </row>
    <row r="7" spans="2:17" x14ac:dyDescent="0.25">
      <c r="B7" s="44" t="s">
        <v>39</v>
      </c>
      <c r="C7" s="45">
        <f>IFERROR(ROUND('Tabla de resultados'!C7/('Tabla de resultados'!C7+'Tabla de resultados'!C15),2),0)</f>
        <v>1</v>
      </c>
      <c r="D7" s="45">
        <f>IFERROR(ROUND('Tabla de resultados'!D7/('Tabla de resultados'!D7+'Tabla de resultados'!D15),2),0)</f>
        <v>0.08</v>
      </c>
      <c r="E7" s="45">
        <f>IFERROR(ROUND('Tabla de resultados'!E7/('Tabla de resultados'!E7+'Tabla de resultados'!E15),2),0)</f>
        <v>1</v>
      </c>
      <c r="F7" s="45">
        <f>IFERROR(ROUND('Tabla de resultados'!F7/('Tabla de resultados'!F7+'Tabla de resultados'!F15),2),0)</f>
        <v>1</v>
      </c>
      <c r="G7" s="45">
        <f>IFERROR(ROUND('Tabla de resultados'!G7/('Tabla de resultados'!G7+'Tabla de resultados'!G15),2),0)</f>
        <v>0.08</v>
      </c>
      <c r="H7" s="45">
        <f>IFERROR(ROUND('Tabla de resultados'!H7/('Tabla de resultados'!H7+'Tabla de resultados'!H15),2),0)</f>
        <v>1</v>
      </c>
      <c r="I7" s="45">
        <f>IFERROR(ROUND('Tabla de resultados'!I7/('Tabla de resultados'!I7+'Tabla de resultados'!I15),2),0)</f>
        <v>0.08</v>
      </c>
      <c r="J7" s="45">
        <f>IFERROR(ROUND('Tabla de resultados'!J7/('Tabla de resultados'!J7+'Tabla de resultados'!J15),2),0)</f>
        <v>1</v>
      </c>
      <c r="K7" s="31"/>
      <c r="L7" s="1">
        <v>4</v>
      </c>
      <c r="M7" s="1">
        <v>1</v>
      </c>
      <c r="N7" s="1">
        <v>1</v>
      </c>
      <c r="O7" s="33" t="s">
        <v>67</v>
      </c>
      <c r="P7" s="36" t="str">
        <f t="shared" si="0"/>
        <v>(0.1*TRIA(1000,1300,7000)/30)*1.</v>
      </c>
      <c r="Q7" s="37" t="str">
        <f t="shared" si="1"/>
        <v>(0.1*TRIA(1000,1300,7000)/30)*0.</v>
      </c>
    </row>
    <row r="8" spans="2:17" x14ac:dyDescent="0.25">
      <c r="B8" s="31"/>
      <c r="C8" s="31"/>
      <c r="D8" s="31"/>
      <c r="E8" s="31"/>
      <c r="F8" s="31"/>
      <c r="G8" s="31"/>
      <c r="H8" s="31"/>
      <c r="I8" s="31"/>
      <c r="J8" s="31"/>
      <c r="K8" s="31"/>
      <c r="L8" s="1">
        <v>1</v>
      </c>
      <c r="M8" s="1">
        <v>2</v>
      </c>
      <c r="N8" s="1">
        <v>1</v>
      </c>
      <c r="O8" s="33" t="s">
        <v>68</v>
      </c>
      <c r="P8" s="36" t="str">
        <f t="shared" si="0"/>
        <v>(0.1*WEIB(4124.6,2.79)/30)*0.14</v>
      </c>
      <c r="Q8" s="37" t="str">
        <f t="shared" si="1"/>
        <v>(0.1*WEIB(4124.6,2.79)/30)*0.86</v>
      </c>
    </row>
    <row r="9" spans="2:17" x14ac:dyDescent="0.25">
      <c r="B9" s="49" t="s">
        <v>69</v>
      </c>
      <c r="C9" s="48"/>
      <c r="D9" s="48"/>
      <c r="E9" s="48"/>
      <c r="F9" s="48"/>
      <c r="G9" s="48"/>
      <c r="H9" s="48"/>
      <c r="I9" s="48"/>
      <c r="J9" s="47"/>
      <c r="K9" s="31"/>
      <c r="L9" s="1">
        <v>2</v>
      </c>
      <c r="M9" s="1">
        <v>2</v>
      </c>
      <c r="N9" s="1">
        <v>1</v>
      </c>
      <c r="O9" s="33" t="s">
        <v>65</v>
      </c>
      <c r="P9" s="36" t="str">
        <f t="shared" si="0"/>
        <v>(0.2*WEIB(2886.8,3.68)/30)*0.06</v>
      </c>
      <c r="Q9" s="37" t="str">
        <f t="shared" si="1"/>
        <v>(0.2*WEIB(2886.8,3.68)/30)*0.94</v>
      </c>
    </row>
    <row r="10" spans="2:17" x14ac:dyDescent="0.25">
      <c r="B10" s="44" t="s">
        <v>26</v>
      </c>
      <c r="C10" s="44" t="s">
        <v>27</v>
      </c>
      <c r="D10" s="44" t="s">
        <v>28</v>
      </c>
      <c r="E10" s="44" t="s">
        <v>29</v>
      </c>
      <c r="F10" s="44" t="s">
        <v>30</v>
      </c>
      <c r="G10" s="44" t="s">
        <v>31</v>
      </c>
      <c r="H10" s="44" t="s">
        <v>32</v>
      </c>
      <c r="I10" s="44" t="s">
        <v>33</v>
      </c>
      <c r="J10" s="44" t="s">
        <v>34</v>
      </c>
      <c r="K10" s="31"/>
      <c r="L10" s="1">
        <v>3</v>
      </c>
      <c r="M10" s="1">
        <v>2</v>
      </c>
      <c r="N10" s="1">
        <v>1</v>
      </c>
      <c r="O10" s="33" t="s">
        <v>70</v>
      </c>
      <c r="P10" s="36" t="str">
        <f t="shared" si="0"/>
        <v>(0.3*JOHN(-0.42,0.87,7133.7,-314.13)/30)*0.02</v>
      </c>
      <c r="Q10" s="37" t="str">
        <f t="shared" si="1"/>
        <v>(0.3*JOHN(-0.42,0.87,7133.7,-314.13)/30)*0.98</v>
      </c>
    </row>
    <row r="11" spans="2:17" x14ac:dyDescent="0.25">
      <c r="B11" s="44" t="s">
        <v>36</v>
      </c>
      <c r="C11" s="45">
        <f>IFERROR(ROUND('Tabla de resultados'!C12/('Tabla de resultados'!C12+'Tabla de resultados'!C4),2),0)</f>
        <v>0</v>
      </c>
      <c r="D11" s="45">
        <f>IFERROR(ROUND('Tabla de resultados'!D12/('Tabla de resultados'!D12+'Tabla de resultados'!D4),2),0)</f>
        <v>0.86</v>
      </c>
      <c r="E11" s="45">
        <f>IFERROR(ROUND('Tabla de resultados'!E12/('Tabla de resultados'!E12+'Tabla de resultados'!E4),2),0)</f>
        <v>0.08</v>
      </c>
      <c r="F11" s="45">
        <f>IFERROR(ROUND('Tabla de resultados'!F12/('Tabla de resultados'!F12+'Tabla de resultados'!F4),2),0)</f>
        <v>0</v>
      </c>
      <c r="G11" s="45">
        <f>IFERROR(ROUND('Tabla de resultados'!G12/('Tabla de resultados'!G12+'Tabla de resultados'!G4),2),0)</f>
        <v>0.86</v>
      </c>
      <c r="H11" s="45">
        <f>IFERROR(ROUND('Tabla de resultados'!H12/('Tabla de resultados'!H12+'Tabla de resultados'!H4),2),0)</f>
        <v>0.86</v>
      </c>
      <c r="I11" s="45">
        <f>IFERROR(ROUND('Tabla de resultados'!I12/('Tabla de resultados'!I12+'Tabla de resultados'!I4),2),0)</f>
        <v>1</v>
      </c>
      <c r="J11" s="45">
        <f>IFERROR(ROUND('Tabla de resultados'!J12/('Tabla de resultados'!J12+'Tabla de resultados'!J4),2),0)</f>
        <v>0</v>
      </c>
      <c r="K11" s="31"/>
      <c r="L11" s="1">
        <v>4</v>
      </c>
      <c r="M11" s="1">
        <v>2</v>
      </c>
      <c r="N11" s="1">
        <v>1</v>
      </c>
      <c r="O11" s="33" t="s">
        <v>71</v>
      </c>
      <c r="P11" s="36" t="str">
        <f t="shared" si="0"/>
        <v>(0.2*TRIA(1000,1300,7000)/30)*0.08</v>
      </c>
      <c r="Q11" s="37" t="str">
        <f t="shared" si="1"/>
        <v>(0.2*TRIA(1000,1300,7000)/30)*0.92</v>
      </c>
    </row>
    <row r="12" spans="2:17" x14ac:dyDescent="0.25">
      <c r="B12" s="44" t="s">
        <v>37</v>
      </c>
      <c r="C12" s="45">
        <f>IFERROR(ROUND('Tabla de resultados'!C13/('Tabla de resultados'!C13+'Tabla de resultados'!C5),2),0)</f>
        <v>0</v>
      </c>
      <c r="D12" s="45">
        <f>IFERROR(ROUND('Tabla de resultados'!D13/('Tabla de resultados'!D13+'Tabla de resultados'!D5),2),0)</f>
        <v>0.94</v>
      </c>
      <c r="E12" s="45">
        <f>IFERROR(ROUND('Tabla de resultados'!E13/('Tabla de resultados'!E13+'Tabla de resultados'!E5),2),0)</f>
        <v>0</v>
      </c>
      <c r="F12" s="45">
        <f>IFERROR(ROUND('Tabla de resultados'!F13/('Tabla de resultados'!F13+'Tabla de resultados'!F5),2),0)</f>
        <v>0</v>
      </c>
      <c r="G12" s="45">
        <f>IFERROR(ROUND('Tabla de resultados'!G13/('Tabla de resultados'!G13+'Tabla de resultados'!G5),2),0)</f>
        <v>0.94</v>
      </c>
      <c r="H12" s="45">
        <f>IFERROR(ROUND('Tabla de resultados'!H13/('Tabla de resultados'!H13+'Tabla de resultados'!H5),2),0)</f>
        <v>0</v>
      </c>
      <c r="I12" s="45">
        <f>IFERROR(ROUND('Tabla de resultados'!I13/('Tabla de resultados'!I13+'Tabla de resultados'!I5),2),0)</f>
        <v>0</v>
      </c>
      <c r="J12" s="45">
        <f>IFERROR(ROUND('Tabla de resultados'!J13/('Tabla de resultados'!J13+'Tabla de resultados'!J5),2),0)</f>
        <v>0</v>
      </c>
      <c r="K12" s="31"/>
      <c r="L12" s="1">
        <v>1</v>
      </c>
      <c r="M12" s="1">
        <v>3</v>
      </c>
      <c r="N12" s="1">
        <v>1</v>
      </c>
      <c r="O12" s="33" t="s">
        <v>72</v>
      </c>
      <c r="P12" s="36" t="str">
        <f t="shared" si="0"/>
        <v>(0.2*WEIB(4124.6,2.79)/30)*0.92</v>
      </c>
      <c r="Q12" s="37" t="str">
        <f t="shared" si="1"/>
        <v>(0.2*WEIB(4124.6,2.79)/30)*0.08</v>
      </c>
    </row>
    <row r="13" spans="2:17" x14ac:dyDescent="0.25">
      <c r="B13" s="44" t="s">
        <v>38</v>
      </c>
      <c r="C13" s="45">
        <f>IFERROR(ROUND('Tabla de resultados'!C14/('Tabla de resultados'!C14+'Tabla de resultados'!C6),2),0)</f>
        <v>0</v>
      </c>
      <c r="D13" s="45">
        <f>IFERROR(ROUND('Tabla de resultados'!D14/('Tabla de resultados'!D14+'Tabla de resultados'!D6),2),0)</f>
        <v>0.98</v>
      </c>
      <c r="E13" s="45">
        <f>IFERROR(ROUND('Tabla de resultados'!E14/('Tabla de resultados'!E14+'Tabla de resultados'!E6),2),0)</f>
        <v>0</v>
      </c>
      <c r="F13" s="45">
        <f>IFERROR(ROUND('Tabla de resultados'!F14/('Tabla de resultados'!F14+'Tabla de resultados'!F6),2),0)</f>
        <v>0</v>
      </c>
      <c r="G13" s="45">
        <f>IFERROR(ROUND('Tabla de resultados'!G14/('Tabla de resultados'!G14+'Tabla de resultados'!G6),2),0)</f>
        <v>0.98</v>
      </c>
      <c r="H13" s="45">
        <f>IFERROR(ROUND('Tabla de resultados'!H14/('Tabla de resultados'!H14+'Tabla de resultados'!H6),2),0)</f>
        <v>0.98</v>
      </c>
      <c r="I13" s="45">
        <f>IFERROR(ROUND('Tabla de resultados'!I14/('Tabla de resultados'!I14+'Tabla de resultados'!I6),2),0)</f>
        <v>0.98</v>
      </c>
      <c r="J13" s="45">
        <f>IFERROR(ROUND('Tabla de resultados'!J14/('Tabla de resultados'!J14+'Tabla de resultados'!J6),2),0)</f>
        <v>0</v>
      </c>
      <c r="K13" s="31"/>
      <c r="L13" s="1">
        <v>2</v>
      </c>
      <c r="M13" s="1">
        <v>3</v>
      </c>
      <c r="N13" s="1">
        <v>1</v>
      </c>
      <c r="O13" s="33" t="s">
        <v>73</v>
      </c>
      <c r="P13" s="36" t="str">
        <f t="shared" si="0"/>
        <v>(0.0)*0.</v>
      </c>
      <c r="Q13" s="37" t="str">
        <f t="shared" si="1"/>
        <v>(0.0)*0.</v>
      </c>
    </row>
    <row r="14" spans="2:17" x14ac:dyDescent="0.25">
      <c r="B14" s="44" t="s">
        <v>39</v>
      </c>
      <c r="C14" s="45">
        <f>IFERROR(ROUND('Tabla de resultados'!C15/('Tabla de resultados'!C15+'Tabla de resultados'!C7),2),0)</f>
        <v>0</v>
      </c>
      <c r="D14" s="45">
        <f>IFERROR(ROUND('Tabla de resultados'!D15/('Tabla de resultados'!D15+'Tabla de resultados'!D7),2),0)</f>
        <v>0.92</v>
      </c>
      <c r="E14" s="45">
        <f>IFERROR(ROUND('Tabla de resultados'!E15/('Tabla de resultados'!E15+'Tabla de resultados'!E7),2),0)</f>
        <v>0</v>
      </c>
      <c r="F14" s="45">
        <f>IFERROR(ROUND('Tabla de resultados'!F15/('Tabla de resultados'!F15+'Tabla de resultados'!F7),2),0)</f>
        <v>0</v>
      </c>
      <c r="G14" s="45">
        <f>IFERROR(ROUND('Tabla de resultados'!G15/('Tabla de resultados'!G15+'Tabla de resultados'!G7),2),0)</f>
        <v>0.92</v>
      </c>
      <c r="H14" s="45">
        <f>IFERROR(ROUND('Tabla de resultados'!H15/('Tabla de resultados'!H15+'Tabla de resultados'!H7),2),0)</f>
        <v>0</v>
      </c>
      <c r="I14" s="45">
        <f>IFERROR(ROUND('Tabla de resultados'!I15/('Tabla de resultados'!I15+'Tabla de resultados'!I7),2),0)</f>
        <v>0.92</v>
      </c>
      <c r="J14" s="45">
        <f>IFERROR(ROUND('Tabla de resultados'!J15/('Tabla de resultados'!J15+'Tabla de resultados'!J7),2),0)</f>
        <v>0</v>
      </c>
      <c r="K14" s="31"/>
      <c r="L14" s="1">
        <v>3</v>
      </c>
      <c r="M14" s="1">
        <v>3</v>
      </c>
      <c r="N14" s="1">
        <v>1</v>
      </c>
      <c r="O14" s="33" t="s">
        <v>74</v>
      </c>
      <c r="P14" s="36" t="str">
        <f t="shared" si="0"/>
        <v>(0.2*JOHN(-0.42,0.87,7133.7,-314.13)/30)*1.</v>
      </c>
      <c r="Q14" s="37" t="str">
        <f t="shared" si="1"/>
        <v>(0.2*JOHN(-0.42,0.87,7133.7,-314.13)/30)*0.</v>
      </c>
    </row>
    <row r="15" spans="2:17" x14ac:dyDescent="0.25"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1">
        <v>4</v>
      </c>
      <c r="M15" s="1">
        <v>3</v>
      </c>
      <c r="N15" s="1">
        <v>1</v>
      </c>
      <c r="O15" s="33" t="s">
        <v>67</v>
      </c>
      <c r="P15" s="36" t="str">
        <f t="shared" si="0"/>
        <v>(0.1*TRIA(1000,1300,7000)/30)*1.</v>
      </c>
      <c r="Q15" s="37" t="str">
        <f t="shared" si="1"/>
        <v>(0.1*TRIA(1000,1300,7000)/30)*0.</v>
      </c>
    </row>
    <row r="16" spans="2:17" x14ac:dyDescent="0.25"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1">
        <v>1</v>
      </c>
      <c r="M16" s="1">
        <v>4</v>
      </c>
      <c r="N16" s="1">
        <v>1</v>
      </c>
      <c r="O16" s="33" t="s">
        <v>73</v>
      </c>
      <c r="P16" s="36" t="str">
        <f t="shared" si="0"/>
        <v>(0.0)*0.</v>
      </c>
      <c r="Q16" s="37" t="str">
        <f t="shared" si="1"/>
        <v>(0.0)*0.</v>
      </c>
    </row>
    <row r="17" spans="2:17" x14ac:dyDescent="0.25">
      <c r="B17" s="49" t="s">
        <v>59</v>
      </c>
      <c r="C17" s="48"/>
      <c r="D17" s="48"/>
      <c r="E17" s="48"/>
      <c r="F17" s="48"/>
      <c r="G17" s="48"/>
      <c r="H17" s="48"/>
      <c r="I17" s="48"/>
      <c r="J17" s="47"/>
      <c r="K17" s="31"/>
      <c r="L17" s="1">
        <v>2</v>
      </c>
      <c r="M17" s="1">
        <v>4</v>
      </c>
      <c r="N17" s="1">
        <v>1</v>
      </c>
      <c r="O17" s="33" t="s">
        <v>75</v>
      </c>
      <c r="P17" s="36" t="str">
        <f t="shared" si="0"/>
        <v>(0.1*WEIB(2886.8,3.68)/30)*1.</v>
      </c>
      <c r="Q17" s="37" t="str">
        <f t="shared" si="1"/>
        <v>(0.1*WEIB(2886.8,3.68)/30)*0.</v>
      </c>
    </row>
    <row r="18" spans="2:17" x14ac:dyDescent="0.25">
      <c r="B18" s="44" t="s">
        <v>26</v>
      </c>
      <c r="C18" s="44" t="s">
        <v>27</v>
      </c>
      <c r="D18" s="44" t="s">
        <v>28</v>
      </c>
      <c r="E18" s="44" t="s">
        <v>29</v>
      </c>
      <c r="F18" s="44" t="s">
        <v>30</v>
      </c>
      <c r="G18" s="44" t="s">
        <v>31</v>
      </c>
      <c r="H18" s="44" t="s">
        <v>32</v>
      </c>
      <c r="I18" s="44" t="s">
        <v>33</v>
      </c>
      <c r="J18" s="44" t="s">
        <v>34</v>
      </c>
      <c r="K18" s="31"/>
      <c r="L18" s="1">
        <v>3</v>
      </c>
      <c r="M18" s="1">
        <v>4</v>
      </c>
      <c r="N18" s="1">
        <v>1</v>
      </c>
      <c r="O18" s="33" t="s">
        <v>73</v>
      </c>
      <c r="P18" s="36" t="str">
        <f t="shared" si="0"/>
        <v>(0.0)*0.</v>
      </c>
      <c r="Q18" s="37" t="str">
        <f t="shared" si="1"/>
        <v>(0.0)*0.</v>
      </c>
    </row>
    <row r="19" spans="2:17" x14ac:dyDescent="0.25">
      <c r="B19" s="44" t="s">
        <v>36</v>
      </c>
      <c r="C19" s="45" t="str">
        <f t="shared" ref="C19:J22" si="2">REPLACE(C4,2,1,".")</f>
        <v>1.</v>
      </c>
      <c r="D19" s="45" t="str">
        <f t="shared" si="2"/>
        <v>0.14</v>
      </c>
      <c r="E19" s="45" t="str">
        <f t="shared" si="2"/>
        <v>0.92</v>
      </c>
      <c r="F19" s="45" t="str">
        <f t="shared" si="2"/>
        <v>0.</v>
      </c>
      <c r="G19" s="45" t="str">
        <f t="shared" si="2"/>
        <v>0.14</v>
      </c>
      <c r="H19" s="45" t="str">
        <f t="shared" si="2"/>
        <v>0.14</v>
      </c>
      <c r="I19" s="45" t="str">
        <f t="shared" si="2"/>
        <v>0.</v>
      </c>
      <c r="J19" s="45" t="str">
        <f t="shared" si="2"/>
        <v>1.</v>
      </c>
      <c r="K19" s="31"/>
      <c r="L19" s="1">
        <v>4</v>
      </c>
      <c r="M19" s="1">
        <v>4</v>
      </c>
      <c r="N19" s="1">
        <v>1</v>
      </c>
      <c r="O19" s="33" t="s">
        <v>67</v>
      </c>
      <c r="P19" s="36" t="str">
        <f t="shared" si="0"/>
        <v>(0.1*TRIA(1000,1300,7000)/30)*1.</v>
      </c>
      <c r="Q19" s="37" t="str">
        <f t="shared" si="1"/>
        <v>(0.1*TRIA(1000,1300,7000)/30)*0.</v>
      </c>
    </row>
    <row r="20" spans="2:17" x14ac:dyDescent="0.25">
      <c r="B20" s="44" t="s">
        <v>37</v>
      </c>
      <c r="C20" s="45" t="str">
        <f t="shared" si="2"/>
        <v>1.</v>
      </c>
      <c r="D20" s="45" t="str">
        <f t="shared" si="2"/>
        <v>0.06</v>
      </c>
      <c r="E20" s="45" t="str">
        <f t="shared" si="2"/>
        <v>0.</v>
      </c>
      <c r="F20" s="45" t="str">
        <f t="shared" si="2"/>
        <v>1.</v>
      </c>
      <c r="G20" s="45" t="str">
        <f t="shared" si="2"/>
        <v>0.06</v>
      </c>
      <c r="H20" s="45" t="str">
        <f t="shared" si="2"/>
        <v>1.</v>
      </c>
      <c r="I20" s="45" t="str">
        <f t="shared" si="2"/>
        <v>0.</v>
      </c>
      <c r="J20" s="45" t="str">
        <f t="shared" si="2"/>
        <v>1.</v>
      </c>
      <c r="K20" s="31"/>
      <c r="L20" s="1">
        <v>1</v>
      </c>
      <c r="M20" s="1">
        <v>5</v>
      </c>
      <c r="N20" s="1">
        <v>1</v>
      </c>
      <c r="O20" s="33" t="s">
        <v>72</v>
      </c>
      <c r="P20" s="36" t="str">
        <f t="shared" si="0"/>
        <v>(0.2*WEIB(4124.6,2.79)/30)*0.14</v>
      </c>
      <c r="Q20" s="37" t="str">
        <f t="shared" si="1"/>
        <v>(0.2*WEIB(4124.6,2.79)/30)*0.86</v>
      </c>
    </row>
    <row r="21" spans="2:17" x14ac:dyDescent="0.25">
      <c r="B21" s="44" t="s">
        <v>38</v>
      </c>
      <c r="C21" s="45" t="str">
        <f t="shared" si="2"/>
        <v>1.</v>
      </c>
      <c r="D21" s="45" t="str">
        <f t="shared" si="2"/>
        <v>0.02</v>
      </c>
      <c r="E21" s="45" t="str">
        <f t="shared" si="2"/>
        <v>1.</v>
      </c>
      <c r="F21" s="45" t="str">
        <f t="shared" si="2"/>
        <v>0.</v>
      </c>
      <c r="G21" s="45" t="str">
        <f t="shared" si="2"/>
        <v>0.02</v>
      </c>
      <c r="H21" s="45" t="str">
        <f t="shared" si="2"/>
        <v>0.02</v>
      </c>
      <c r="I21" s="45" t="str">
        <f t="shared" si="2"/>
        <v>0.02</v>
      </c>
      <c r="J21" s="45" t="str">
        <f t="shared" si="2"/>
        <v>0.</v>
      </c>
      <c r="K21" s="31"/>
      <c r="L21" s="1">
        <v>2</v>
      </c>
      <c r="M21" s="1">
        <v>5</v>
      </c>
      <c r="N21" s="1">
        <v>1</v>
      </c>
      <c r="O21" s="33" t="s">
        <v>65</v>
      </c>
      <c r="P21" s="36" t="str">
        <f t="shared" si="0"/>
        <v>(0.2*WEIB(2886.8,3.68)/30)*0.06</v>
      </c>
      <c r="Q21" s="37" t="str">
        <f t="shared" si="1"/>
        <v>(0.2*WEIB(2886.8,3.68)/30)*0.94</v>
      </c>
    </row>
    <row r="22" spans="2:17" x14ac:dyDescent="0.25">
      <c r="B22" s="44" t="s">
        <v>39</v>
      </c>
      <c r="C22" s="45" t="str">
        <f t="shared" si="2"/>
        <v>1.</v>
      </c>
      <c r="D22" s="45" t="str">
        <f t="shared" si="2"/>
        <v>0.08</v>
      </c>
      <c r="E22" s="45" t="str">
        <f t="shared" si="2"/>
        <v>1.</v>
      </c>
      <c r="F22" s="45" t="str">
        <f t="shared" si="2"/>
        <v>1.</v>
      </c>
      <c r="G22" s="45" t="str">
        <f t="shared" si="2"/>
        <v>0.08</v>
      </c>
      <c r="H22" s="45" t="str">
        <f t="shared" si="2"/>
        <v>1.</v>
      </c>
      <c r="I22" s="45" t="str">
        <f t="shared" si="2"/>
        <v>0.08</v>
      </c>
      <c r="J22" s="45" t="str">
        <f t="shared" si="2"/>
        <v>1.</v>
      </c>
      <c r="K22" s="31"/>
      <c r="L22" s="1">
        <v>3</v>
      </c>
      <c r="M22" s="1">
        <v>5</v>
      </c>
      <c r="N22" s="1">
        <v>1</v>
      </c>
      <c r="O22" s="33" t="s">
        <v>76</v>
      </c>
      <c r="P22" s="36" t="str">
        <f t="shared" si="0"/>
        <v>(0.15*JOHN(-0.42,0.87,7133.7,-314.13)/30)*0.02</v>
      </c>
      <c r="Q22" s="37" t="str">
        <f t="shared" si="1"/>
        <v>(0.15*JOHN(-0.42,0.87,7133.7,-314.13)/30)*0.98</v>
      </c>
    </row>
    <row r="23" spans="2:17" x14ac:dyDescent="0.25"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1">
        <v>4</v>
      </c>
      <c r="M23" s="1">
        <v>5</v>
      </c>
      <c r="N23" s="1">
        <v>1</v>
      </c>
      <c r="O23" s="33" t="s">
        <v>67</v>
      </c>
      <c r="P23" s="36" t="str">
        <f t="shared" si="0"/>
        <v>(0.1*TRIA(1000,1300,7000)/30)*0.08</v>
      </c>
      <c r="Q23" s="37" t="str">
        <f t="shared" si="1"/>
        <v>(0.1*TRIA(1000,1300,7000)/30)*0.92</v>
      </c>
    </row>
    <row r="24" spans="2:17" x14ac:dyDescent="0.25">
      <c r="B24" s="49" t="s">
        <v>69</v>
      </c>
      <c r="C24" s="48"/>
      <c r="D24" s="48"/>
      <c r="E24" s="48"/>
      <c r="F24" s="48"/>
      <c r="G24" s="48"/>
      <c r="H24" s="48"/>
      <c r="I24" s="48"/>
      <c r="J24" s="47"/>
      <c r="K24" s="31"/>
      <c r="L24" s="1">
        <v>1</v>
      </c>
      <c r="M24" s="1">
        <v>6</v>
      </c>
      <c r="N24" s="1">
        <v>1</v>
      </c>
      <c r="O24" s="33" t="s">
        <v>68</v>
      </c>
      <c r="P24" s="36" t="str">
        <f t="shared" si="0"/>
        <v>(0.1*WEIB(4124.6,2.79)/30)*0.14</v>
      </c>
      <c r="Q24" s="37" t="str">
        <f t="shared" si="1"/>
        <v>(0.1*WEIB(4124.6,2.79)/30)*0.86</v>
      </c>
    </row>
    <row r="25" spans="2:17" x14ac:dyDescent="0.25">
      <c r="B25" s="44" t="s">
        <v>26</v>
      </c>
      <c r="C25" s="44" t="s">
        <v>27</v>
      </c>
      <c r="D25" s="44" t="s">
        <v>28</v>
      </c>
      <c r="E25" s="44" t="s">
        <v>29</v>
      </c>
      <c r="F25" s="44" t="s">
        <v>30</v>
      </c>
      <c r="G25" s="44" t="s">
        <v>31</v>
      </c>
      <c r="H25" s="44" t="s">
        <v>32</v>
      </c>
      <c r="I25" s="44" t="s">
        <v>33</v>
      </c>
      <c r="J25" s="44" t="s">
        <v>34</v>
      </c>
      <c r="K25" s="31"/>
      <c r="L25" s="1">
        <v>2</v>
      </c>
      <c r="M25" s="1">
        <v>6</v>
      </c>
      <c r="N25" s="1">
        <v>1</v>
      </c>
      <c r="O25" s="33" t="s">
        <v>65</v>
      </c>
      <c r="P25" s="36" t="str">
        <f t="shared" si="0"/>
        <v>(0.2*WEIB(2886.8,3.68)/30)*1.</v>
      </c>
      <c r="Q25" s="37" t="str">
        <f t="shared" si="1"/>
        <v>(0.2*WEIB(2886.8,3.68)/30)*0.</v>
      </c>
    </row>
    <row r="26" spans="2:17" x14ac:dyDescent="0.25">
      <c r="B26" s="44" t="s">
        <v>36</v>
      </c>
      <c r="C26" s="45" t="str">
        <f t="shared" ref="C26:J29" si="3">REPLACE(C11,2,1,".")</f>
        <v>0.</v>
      </c>
      <c r="D26" s="45" t="str">
        <f t="shared" si="3"/>
        <v>0.86</v>
      </c>
      <c r="E26" s="45" t="str">
        <f t="shared" si="3"/>
        <v>0.08</v>
      </c>
      <c r="F26" s="45" t="str">
        <f t="shared" si="3"/>
        <v>0.</v>
      </c>
      <c r="G26" s="45" t="str">
        <f t="shared" si="3"/>
        <v>0.86</v>
      </c>
      <c r="H26" s="45" t="str">
        <f t="shared" si="3"/>
        <v>0.86</v>
      </c>
      <c r="I26" s="45" t="str">
        <f t="shared" si="3"/>
        <v>1.</v>
      </c>
      <c r="J26" s="45" t="str">
        <f t="shared" si="3"/>
        <v>0.</v>
      </c>
      <c r="K26" s="31"/>
      <c r="L26" s="1">
        <v>3</v>
      </c>
      <c r="M26" s="1">
        <v>6</v>
      </c>
      <c r="N26" s="1">
        <v>1</v>
      </c>
      <c r="O26" s="33" t="s">
        <v>66</v>
      </c>
      <c r="P26" s="36" t="str">
        <f t="shared" si="0"/>
        <v>(0.1*JOHN(-0.42,0.87,7133.7,-314.13)/30)*0.02</v>
      </c>
      <c r="Q26" s="37" t="str">
        <f t="shared" si="1"/>
        <v>(0.1*JOHN(-0.42,0.87,7133.7,-314.13)/30)*0.98</v>
      </c>
    </row>
    <row r="27" spans="2:17" x14ac:dyDescent="0.25">
      <c r="B27" s="44" t="s">
        <v>37</v>
      </c>
      <c r="C27" s="45" t="str">
        <f t="shared" si="3"/>
        <v>0.</v>
      </c>
      <c r="D27" s="45" t="str">
        <f t="shared" si="3"/>
        <v>0.94</v>
      </c>
      <c r="E27" s="45" t="str">
        <f t="shared" si="3"/>
        <v>0.</v>
      </c>
      <c r="F27" s="45" t="str">
        <f t="shared" si="3"/>
        <v>0.</v>
      </c>
      <c r="G27" s="45" t="str">
        <f t="shared" si="3"/>
        <v>0.94</v>
      </c>
      <c r="H27" s="45" t="str">
        <f t="shared" si="3"/>
        <v>0.</v>
      </c>
      <c r="I27" s="45" t="str">
        <f t="shared" si="3"/>
        <v>0.</v>
      </c>
      <c r="J27" s="45" t="str">
        <f t="shared" si="3"/>
        <v>0.</v>
      </c>
      <c r="K27" s="31"/>
      <c r="L27" s="1">
        <v>4</v>
      </c>
      <c r="M27" s="1">
        <v>6</v>
      </c>
      <c r="N27" s="1">
        <v>1</v>
      </c>
      <c r="O27" s="33" t="s">
        <v>71</v>
      </c>
      <c r="P27" s="36" t="str">
        <f t="shared" si="0"/>
        <v>(0.2*TRIA(1000,1300,7000)/30)*1.</v>
      </c>
      <c r="Q27" s="37" t="str">
        <f t="shared" si="1"/>
        <v>(0.2*TRIA(1000,1300,7000)/30)*0.</v>
      </c>
    </row>
    <row r="28" spans="2:17" x14ac:dyDescent="0.25">
      <c r="B28" s="44" t="s">
        <v>38</v>
      </c>
      <c r="C28" s="45" t="str">
        <f t="shared" si="3"/>
        <v>0.</v>
      </c>
      <c r="D28" s="45" t="str">
        <f t="shared" si="3"/>
        <v>0.98</v>
      </c>
      <c r="E28" s="45" t="str">
        <f t="shared" si="3"/>
        <v>0.</v>
      </c>
      <c r="F28" s="45" t="str">
        <f t="shared" si="3"/>
        <v>0.</v>
      </c>
      <c r="G28" s="45" t="str">
        <f t="shared" si="3"/>
        <v>0.98</v>
      </c>
      <c r="H28" s="45" t="str">
        <f t="shared" si="3"/>
        <v>0.98</v>
      </c>
      <c r="I28" s="45" t="str">
        <f t="shared" si="3"/>
        <v>0.98</v>
      </c>
      <c r="J28" s="45" t="str">
        <f t="shared" si="3"/>
        <v>0.</v>
      </c>
      <c r="K28" s="31"/>
      <c r="L28" s="1">
        <v>1</v>
      </c>
      <c r="M28" s="1">
        <v>7</v>
      </c>
      <c r="N28" s="1">
        <v>1</v>
      </c>
      <c r="O28" s="33" t="s">
        <v>68</v>
      </c>
      <c r="P28" s="36" t="str">
        <f t="shared" si="0"/>
        <v>(0.1*WEIB(4124.6,2.79)/30)*0.</v>
      </c>
      <c r="Q28" s="37" t="str">
        <f t="shared" si="1"/>
        <v>(0.1*WEIB(4124.6,2.79)/30)*1.</v>
      </c>
    </row>
    <row r="29" spans="2:17" x14ac:dyDescent="0.25">
      <c r="B29" s="44" t="s">
        <v>39</v>
      </c>
      <c r="C29" s="45" t="str">
        <f t="shared" si="3"/>
        <v>0.</v>
      </c>
      <c r="D29" s="45" t="str">
        <f t="shared" si="3"/>
        <v>0.92</v>
      </c>
      <c r="E29" s="45" t="str">
        <f t="shared" si="3"/>
        <v>0.</v>
      </c>
      <c r="F29" s="45" t="str">
        <f t="shared" si="3"/>
        <v>0.</v>
      </c>
      <c r="G29" s="45" t="str">
        <f t="shared" si="3"/>
        <v>0.92</v>
      </c>
      <c r="H29" s="45" t="str">
        <f t="shared" si="3"/>
        <v>0.</v>
      </c>
      <c r="I29" s="45" t="str">
        <f t="shared" si="3"/>
        <v>0.92</v>
      </c>
      <c r="J29" s="45" t="str">
        <f t="shared" si="3"/>
        <v>0.</v>
      </c>
      <c r="K29" s="31"/>
      <c r="L29" s="1">
        <v>2</v>
      </c>
      <c r="M29" s="1">
        <v>7</v>
      </c>
      <c r="N29" s="1">
        <v>1</v>
      </c>
      <c r="O29" s="33" t="s">
        <v>73</v>
      </c>
      <c r="P29" s="36" t="str">
        <f t="shared" si="0"/>
        <v>(0.0)*0.</v>
      </c>
      <c r="Q29" s="37" t="str">
        <f t="shared" si="1"/>
        <v>(0.0)*0.</v>
      </c>
    </row>
    <row r="30" spans="2:17" x14ac:dyDescent="0.25"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1">
        <v>3</v>
      </c>
      <c r="M30" s="1">
        <v>7</v>
      </c>
      <c r="N30" s="1">
        <v>1</v>
      </c>
      <c r="O30" s="33" t="s">
        <v>76</v>
      </c>
      <c r="P30" s="36" t="str">
        <f t="shared" si="0"/>
        <v>(0.15*JOHN(-0.42,0.87,7133.7,-314.13)/30)*0.02</v>
      </c>
      <c r="Q30" s="37" t="str">
        <f t="shared" si="1"/>
        <v>(0.15*JOHN(-0.42,0.87,7133.7,-314.13)/30)*0.98</v>
      </c>
    </row>
    <row r="31" spans="2:17" x14ac:dyDescent="0.25"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1">
        <v>4</v>
      </c>
      <c r="M31" s="1">
        <v>7</v>
      </c>
      <c r="N31" s="1">
        <v>1</v>
      </c>
      <c r="O31" s="33" t="s">
        <v>67</v>
      </c>
      <c r="P31" s="36" t="str">
        <f t="shared" si="0"/>
        <v>(0.1*TRIA(1000,1300,7000)/30)*0.08</v>
      </c>
      <c r="Q31" s="37" t="str">
        <f t="shared" si="1"/>
        <v>(0.1*TRIA(1000,1300,7000)/30)*0.92</v>
      </c>
    </row>
    <row r="32" spans="2:17" x14ac:dyDescent="0.25"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1">
        <v>1</v>
      </c>
      <c r="M32" s="1">
        <v>8</v>
      </c>
      <c r="N32" s="1">
        <v>1</v>
      </c>
      <c r="O32" s="33" t="s">
        <v>68</v>
      </c>
      <c r="P32" s="36" t="str">
        <f t="shared" si="0"/>
        <v>(0.1*WEIB(4124.6,2.79)/30)*1.</v>
      </c>
      <c r="Q32" s="37" t="str">
        <f t="shared" si="1"/>
        <v>(0.1*WEIB(4124.6,2.79)/30)*0.</v>
      </c>
    </row>
    <row r="33" spans="2:17" x14ac:dyDescent="0.25"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1">
        <v>2</v>
      </c>
      <c r="M33" s="1">
        <v>8</v>
      </c>
      <c r="N33" s="1">
        <v>1</v>
      </c>
      <c r="O33" s="33" t="s">
        <v>75</v>
      </c>
      <c r="P33" s="36" t="str">
        <f t="shared" si="0"/>
        <v>(0.1*WEIB(2886.8,3.68)/30)*1.</v>
      </c>
      <c r="Q33" s="37" t="str">
        <f t="shared" si="1"/>
        <v>(0.1*WEIB(2886.8,3.68)/30)*0.</v>
      </c>
    </row>
    <row r="34" spans="2:17" x14ac:dyDescent="0.25"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1">
        <v>3</v>
      </c>
      <c r="M34" s="1">
        <v>8</v>
      </c>
      <c r="N34" s="1">
        <v>1</v>
      </c>
      <c r="O34" s="33" t="s">
        <v>73</v>
      </c>
      <c r="P34" s="36" t="str">
        <f t="shared" si="0"/>
        <v>(0.0)*0.</v>
      </c>
      <c r="Q34" s="37" t="str">
        <f t="shared" si="1"/>
        <v>(0.0)*0.</v>
      </c>
    </row>
    <row r="35" spans="2:17" ht="15.75" customHeight="1" thickBot="1" x14ac:dyDescent="0.3"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1">
        <v>4</v>
      </c>
      <c r="M35" s="1">
        <v>8</v>
      </c>
      <c r="N35" s="1">
        <v>1</v>
      </c>
      <c r="O35" s="33" t="s">
        <v>67</v>
      </c>
      <c r="P35" s="38" t="str">
        <f t="shared" si="0"/>
        <v>(0.1*TRIA(1000,1300,7000)/30)*1.</v>
      </c>
      <c r="Q35" s="39" t="str">
        <f t="shared" si="1"/>
        <v>(0.1*TRIA(1000,1300,7000)/30)*0.</v>
      </c>
    </row>
    <row r="36" spans="2:17" x14ac:dyDescent="0.25"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</row>
    <row r="37" spans="2:17" x14ac:dyDescent="0.25"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</row>
    <row r="38" spans="2:17" x14ac:dyDescent="0.25"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</row>
    <row r="39" spans="2:17" x14ac:dyDescent="0.25"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2:17" x14ac:dyDescent="0.25"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</row>
    <row r="41" spans="2:17" x14ac:dyDescent="0.25"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</row>
    <row r="42" spans="2:17" x14ac:dyDescent="0.25"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</row>
    <row r="43" spans="2:17" x14ac:dyDescent="0.25"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</row>
    <row r="44" spans="2:17" x14ac:dyDescent="0.25"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2:17" x14ac:dyDescent="0.25"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</row>
    <row r="46" spans="2:17" x14ac:dyDescent="0.25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</sheetData>
  <mergeCells count="6">
    <mergeCell ref="P2:Q2"/>
    <mergeCell ref="B2:J2"/>
    <mergeCell ref="B9:J9"/>
    <mergeCell ref="B17:J17"/>
    <mergeCell ref="B24:J24"/>
    <mergeCell ref="L2:O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1:AV1403"/>
  <sheetViews>
    <sheetView topLeftCell="M1" zoomScale="90" zoomScaleNormal="90" workbookViewId="0">
      <selection activeCell="C1" sqref="C1"/>
    </sheetView>
  </sheetViews>
  <sheetFormatPr baseColWidth="10" defaultRowHeight="15" x14ac:dyDescent="0.25"/>
  <cols>
    <col min="2" max="2" width="12" style="29" bestFit="1" customWidth="1"/>
    <col min="3" max="3" width="19.85546875" style="29" bestFit="1" customWidth="1"/>
    <col min="5" max="5" width="16.5703125" style="29" bestFit="1" customWidth="1"/>
    <col min="16" max="16" width="17.140625" style="29" customWidth="1"/>
    <col min="22" max="22" width="16.28515625" style="29" bestFit="1" customWidth="1"/>
    <col min="37" max="37" width="15.85546875" style="29" customWidth="1"/>
    <col min="43" max="43" width="16.5703125" style="29" customWidth="1"/>
  </cols>
  <sheetData>
    <row r="1" spans="2:48" x14ac:dyDescent="0.25">
      <c r="B1" t="s">
        <v>77</v>
      </c>
      <c r="C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AE1" t="s">
        <v>80</v>
      </c>
      <c r="AF1" t="s">
        <v>81</v>
      </c>
      <c r="AG1" t="s">
        <v>84</v>
      </c>
      <c r="AH1" t="s">
        <v>82</v>
      </c>
      <c r="AI1" t="s">
        <v>85</v>
      </c>
    </row>
    <row r="2" spans="2:48" ht="15.75" customHeight="1" thickBot="1" x14ac:dyDescent="0.3">
      <c r="B2" t="s">
        <v>86</v>
      </c>
      <c r="C2">
        <v>1</v>
      </c>
      <c r="J2">
        <v>1</v>
      </c>
      <c r="K2">
        <v>1</v>
      </c>
      <c r="L2">
        <v>1</v>
      </c>
      <c r="M2">
        <v>2</v>
      </c>
      <c r="N2">
        <v>1620</v>
      </c>
      <c r="P2" s="49" t="s">
        <v>87</v>
      </c>
      <c r="Q2" s="48"/>
      <c r="R2" s="48"/>
      <c r="S2" s="48"/>
      <c r="T2" s="47"/>
      <c r="V2" s="49" t="s">
        <v>88</v>
      </c>
      <c r="W2" s="48"/>
      <c r="X2" s="48"/>
      <c r="Y2" s="48"/>
      <c r="Z2" s="48"/>
      <c r="AA2" s="47"/>
      <c r="AE2">
        <v>1</v>
      </c>
      <c r="AF2">
        <v>1</v>
      </c>
      <c r="AG2">
        <v>1</v>
      </c>
      <c r="AH2">
        <v>1</v>
      </c>
      <c r="AI2">
        <v>1400</v>
      </c>
      <c r="AK2" s="49" t="s">
        <v>89</v>
      </c>
      <c r="AL2" s="48"/>
      <c r="AM2" s="48"/>
      <c r="AN2" s="48"/>
      <c r="AO2" s="47"/>
      <c r="AQ2" s="49" t="s">
        <v>90</v>
      </c>
      <c r="AR2" s="48"/>
      <c r="AS2" s="48"/>
      <c r="AT2" s="48"/>
      <c r="AU2" s="48"/>
      <c r="AV2" s="47"/>
    </row>
    <row r="3" spans="2:48" x14ac:dyDescent="0.25">
      <c r="B3" t="s">
        <v>91</v>
      </c>
      <c r="C3">
        <v>1</v>
      </c>
      <c r="J3">
        <v>1</v>
      </c>
      <c r="K3">
        <v>1</v>
      </c>
      <c r="L3">
        <v>1</v>
      </c>
      <c r="M3">
        <v>3</v>
      </c>
      <c r="N3">
        <v>1900</v>
      </c>
      <c r="P3" s="44" t="s">
        <v>92</v>
      </c>
      <c r="Q3" s="44" t="s">
        <v>40</v>
      </c>
      <c r="R3" s="44" t="s">
        <v>41</v>
      </c>
      <c r="S3" s="44" t="s">
        <v>42</v>
      </c>
      <c r="T3" s="44" t="s">
        <v>43</v>
      </c>
      <c r="V3" s="44" t="s">
        <v>92</v>
      </c>
      <c r="W3" s="44" t="s">
        <v>40</v>
      </c>
      <c r="X3" s="44" t="s">
        <v>41</v>
      </c>
      <c r="Y3" s="44" t="s">
        <v>42</v>
      </c>
      <c r="Z3" s="40" t="s">
        <v>43</v>
      </c>
      <c r="AA3" s="6" t="s">
        <v>93</v>
      </c>
      <c r="AE3">
        <v>1</v>
      </c>
      <c r="AF3">
        <v>1</v>
      </c>
      <c r="AG3">
        <v>1</v>
      </c>
      <c r="AH3">
        <v>2</v>
      </c>
      <c r="AI3">
        <v>400</v>
      </c>
      <c r="AK3" s="44" t="s">
        <v>94</v>
      </c>
      <c r="AL3" s="44" t="s">
        <v>36</v>
      </c>
      <c r="AM3" s="44" t="s">
        <v>37</v>
      </c>
      <c r="AN3" s="44" t="s">
        <v>38</v>
      </c>
      <c r="AO3" s="44" t="s">
        <v>39</v>
      </c>
      <c r="AQ3" s="44" t="s">
        <v>94</v>
      </c>
      <c r="AR3" s="44" t="s">
        <v>36</v>
      </c>
      <c r="AS3" s="44" t="s">
        <v>37</v>
      </c>
      <c r="AT3" s="44" t="s">
        <v>38</v>
      </c>
      <c r="AU3" s="44" t="s">
        <v>39</v>
      </c>
      <c r="AV3" s="6" t="s">
        <v>93</v>
      </c>
    </row>
    <row r="4" spans="2:48" x14ac:dyDescent="0.25">
      <c r="B4" t="s">
        <v>95</v>
      </c>
      <c r="C4">
        <v>1</v>
      </c>
      <c r="J4">
        <v>1</v>
      </c>
      <c r="K4">
        <v>1</v>
      </c>
      <c r="L4">
        <v>1</v>
      </c>
      <c r="M4">
        <v>4</v>
      </c>
      <c r="N4">
        <v>1200</v>
      </c>
      <c r="P4" s="44" t="s">
        <v>36</v>
      </c>
      <c r="Q4" s="4">
        <f>COUNTIFS($J$2:$J$102,"=1",$L$2:$L$102,"=1",$K$2:$K$102,"=1")</f>
        <v>10</v>
      </c>
      <c r="R4" s="4">
        <f>COUNTIFS($J$2:$J$102,"=2",$L$2:$L$102,"=1",$K$2:$K$102,"=1")</f>
        <v>3</v>
      </c>
      <c r="S4" s="4">
        <f>COUNTIFS($J$2:$J$102,"=3",$L$2:$L$102,"=1",$K$2:$K$102,"=1")</f>
        <v>0</v>
      </c>
      <c r="T4" s="4">
        <f>COUNTIFS($J$2:$J$102,"=4",$L$2:$L$102,"=1",$K$2:$K$102,"=1")</f>
        <v>0</v>
      </c>
      <c r="V4" s="44" t="s">
        <v>36</v>
      </c>
      <c r="W4" s="4">
        <f>SUMIFS($N$2:$N$102,$J$2:$J$102,"=1",$L$2:$L$102,"=1",$K$2:$K$102,"=1")</f>
        <v>16820</v>
      </c>
      <c r="X4" s="4">
        <f>SUMIFS($N$2:$N$102,$J$2:$J$102,"=2",$L$2:$L$102,"=1",$K$2:$K$102,"=1")</f>
        <v>6970</v>
      </c>
      <c r="Y4" s="4">
        <f>SUMIFS($N$2:$N$102,$J$2:$J$102,"=3",$L$2:$L$102,"=1",$K$2:$K$102,"=1")</f>
        <v>0</v>
      </c>
      <c r="Z4" s="5">
        <f>SUMIFS($N$2:$N$102,$J$2:$J$102,"=4",$L$2:$L$102,"=1",$K$2:$K$102,"=1")</f>
        <v>0</v>
      </c>
      <c r="AA4" s="7">
        <f>SUM(W4:Z4)</f>
        <v>23790</v>
      </c>
      <c r="AE4">
        <v>1</v>
      </c>
      <c r="AF4">
        <v>1</v>
      </c>
      <c r="AG4">
        <v>1</v>
      </c>
      <c r="AH4">
        <v>3</v>
      </c>
      <c r="AI4">
        <v>300</v>
      </c>
      <c r="AK4" s="44" t="s">
        <v>27</v>
      </c>
      <c r="AL4" s="4">
        <f>COUNTIFS($AG$2:$AG$325,"=1",$AE$2:$AE$325,"=1",$AF$2:$AF$325,"=1")</f>
        <v>11</v>
      </c>
      <c r="AM4" s="4">
        <f>COUNTIFS($AG$2:$AG$325,"=1",$AE$2:$AE$325,"=2",$AF$2:$AF$325,"=1")</f>
        <v>8</v>
      </c>
      <c r="AN4" s="4">
        <f>COUNTIFS($AG$2:$AG$325,"=1",$AE$2:$AE$325,"=3",$AF$2:$AF$325,"=1")</f>
        <v>10</v>
      </c>
      <c r="AO4" s="4">
        <f>COUNTIFS($AG$2:$AG$325,"=1",$AE$2:$AE$325,"=4",$AF$2:$AF$325,"=1")</f>
        <v>12</v>
      </c>
      <c r="AQ4" s="44" t="s">
        <v>27</v>
      </c>
      <c r="AR4" s="4">
        <f>SUMIFS($AI$2:$AI$325,$AG$2:$AG$325,"=1",$AE$2:$AE$325,"=1",$AF$2:$AF$325,"=1")</f>
        <v>7200</v>
      </c>
      <c r="AS4" s="4">
        <f>SUMIFS($AI$2:$AI$325,$AG$2:$AG$325,"=1",$AE$2:$AE$325,"=2",$AF$2:$AF$325,"=1")</f>
        <v>2800</v>
      </c>
      <c r="AT4" s="4">
        <f>SUMIFS($AI$2:$AI$325,$AG$2:$AG$325,"=1",$AE$2:$AE$325,"=3",$AF$2:$AF$325,"=1")</f>
        <v>3200</v>
      </c>
      <c r="AU4" s="4">
        <f>SUMIFS($AI$2:$AI$325,$AG$2:$AG$325,"=1",$AE$2:$AE$325,"=4",$AF$2:$AF$325,"=1")</f>
        <v>6400</v>
      </c>
      <c r="AV4" s="7">
        <f t="shared" ref="AV4:AV11" si="0">SUM(AR4:AU4)</f>
        <v>19600</v>
      </c>
    </row>
    <row r="5" spans="2:48" x14ac:dyDescent="0.25">
      <c r="B5" t="s">
        <v>96</v>
      </c>
      <c r="C5">
        <v>1</v>
      </c>
      <c r="J5">
        <v>1</v>
      </c>
      <c r="K5">
        <v>1</v>
      </c>
      <c r="L5">
        <v>1</v>
      </c>
      <c r="M5">
        <v>5</v>
      </c>
      <c r="N5">
        <v>1740</v>
      </c>
      <c r="P5" s="44" t="s">
        <v>37</v>
      </c>
      <c r="Q5" s="4">
        <f>COUNTIFS($J$2:$J$102,"=1",$L$2:$L$102,"=1",$K$2:$K$102,"=2")</f>
        <v>9</v>
      </c>
      <c r="R5" s="4">
        <f>COUNTIFS($J$2:$J$102,"=2",$L$2:$L$102,"=1",$K$2:$K$102,"=2")</f>
        <v>1</v>
      </c>
      <c r="S5" s="4">
        <f>COUNTIFS($J$2:$J$102,"=3",$L$2:$L$102,"=1",$K$2:$K$102,"=2")</f>
        <v>0</v>
      </c>
      <c r="T5" s="4">
        <f>COUNTIFS($J$2:$J$102,"=4",$L$2:$L$102,"=1",$K$2:$K$102,"=2")</f>
        <v>0</v>
      </c>
      <c r="V5" s="44" t="s">
        <v>37</v>
      </c>
      <c r="W5" s="4">
        <f>SUMIFS($N$2:$N$102,$J$2:$J$102,"=1",$L$2:$L$102,"=1",$K$2:$K$102,"=2")</f>
        <v>16780</v>
      </c>
      <c r="X5" s="4">
        <f>SUMIFS($N$2:$N$102,$J$2:$J$102,"=2",$L$2:$L$102,"=1",$K$2:$K$102,"=2")</f>
        <v>720</v>
      </c>
      <c r="Y5" s="4">
        <f>SUMIFS($N$2:$N$102,$J$2:$J$102,"=3",$L$2:$L$102,"=1",$K$2:$K$102,"=2")</f>
        <v>0</v>
      </c>
      <c r="Z5" s="5">
        <f>SUMIFS($N$2:$N$102,$J$2:$J$102,"=4",$L$2:$L$102,"=1",$K$2:$K$102,"=2")</f>
        <v>0</v>
      </c>
      <c r="AA5" s="7">
        <f>SUM(W5:Z5)</f>
        <v>17500</v>
      </c>
      <c r="AE5">
        <v>1</v>
      </c>
      <c r="AF5">
        <v>1</v>
      </c>
      <c r="AG5">
        <v>1</v>
      </c>
      <c r="AH5">
        <v>4</v>
      </c>
      <c r="AI5">
        <v>1400</v>
      </c>
      <c r="AK5" s="44" t="s">
        <v>28</v>
      </c>
      <c r="AL5" s="4">
        <f>COUNTIFS($AG$2:$AG$325,"=2",$AE$2:$AE$325,"=1",$AF$2:$AF$325,"=1")</f>
        <v>1</v>
      </c>
      <c r="AM5" s="4">
        <f>COUNTIFS($AG$2:$AG$325,"=2",$AE$2:$AE$325,"=2",$AF$2:$AF$325,"=1")</f>
        <v>1</v>
      </c>
      <c r="AN5" s="4">
        <f>COUNTIFS($AG$2:$AG$325,"=2",$AE$2:$AE$325,"=3",$AF$2:$AF$325,"=1")</f>
        <v>1</v>
      </c>
      <c r="AO5" s="4">
        <f>COUNTIFS($AG$2:$AG$325,"=2",$AE$2:$AE$325,"=4",$AF$2:$AF$325,"=1")</f>
        <v>1</v>
      </c>
      <c r="AQ5" s="44" t="s">
        <v>28</v>
      </c>
      <c r="AR5" s="4">
        <f>SUMIFS($AI$2:$AI$325,$AG$2:$AG$325,"=2",$AE$2:$AE$325,"=1",$AF$2:$AF$325,"=1")</f>
        <v>800</v>
      </c>
      <c r="AS5" s="4">
        <f>SUMIFS($AI$2:$AI$325,$AG$2:$AG$325,"=2",$AE$2:$AE$325,"=2",$AF$2:$AF$325,"=1")</f>
        <v>600</v>
      </c>
      <c r="AT5" s="4">
        <f>SUMIFS($AI$2:$AI$325,$AG$2:$AG$325,"=2",$AE$2:$AE$325,"=3",$AF$2:$AF$325,"=1")</f>
        <v>300</v>
      </c>
      <c r="AU5" s="4">
        <f>SUMIFS($AI$2:$AI$325,$AG$2:$AG$325,"=2",$AE$2:$AE$325,"=4",$AF$2:$AF$325,"=1")</f>
        <v>210</v>
      </c>
      <c r="AV5" s="7">
        <f t="shared" si="0"/>
        <v>1910</v>
      </c>
    </row>
    <row r="6" spans="2:48" x14ac:dyDescent="0.25">
      <c r="B6" t="s">
        <v>97</v>
      </c>
      <c r="C6">
        <v>1</v>
      </c>
      <c r="J6">
        <v>1</v>
      </c>
      <c r="K6">
        <v>1</v>
      </c>
      <c r="L6">
        <v>1</v>
      </c>
      <c r="M6">
        <v>7</v>
      </c>
      <c r="N6">
        <v>1200</v>
      </c>
      <c r="P6" s="44" t="s">
        <v>38</v>
      </c>
      <c r="Q6" s="4">
        <f>COUNTIFS($J$2:$J$102,"=1",$L$2:$L$102,"=1",$K$2:$K$102,"=3")</f>
        <v>9</v>
      </c>
      <c r="R6" s="4">
        <f>COUNTIFS($J$2:$J$102,"=2",$L$2:$L$102,"=1",$K$2:$K$102,"=3")</f>
        <v>0</v>
      </c>
      <c r="S6" s="4">
        <f>COUNTIFS($J$2:$J$102,"=3",$L$2:$L$102,"=1",$K$2:$K$102,"=3")</f>
        <v>1</v>
      </c>
      <c r="T6" s="4">
        <f>COUNTIFS($J$2:$J$102,"=4",$L$2:$L$102,"=1",$K$2:$K$102,"=3")</f>
        <v>2</v>
      </c>
      <c r="V6" s="44" t="s">
        <v>38</v>
      </c>
      <c r="W6" s="4">
        <f>SUMIFS($N$2:$N$102,$J$2:$J$102,"=1",$L$2:$L$102,"=1",$K$2:$K$102,"=3")</f>
        <v>19620</v>
      </c>
      <c r="X6" s="4">
        <f>SUMIFS($N$2:$N$102,$J$2:$J$102,"=2",$L$2:$L$102,"=1",$K$2:$K$102,"=3")</f>
        <v>0</v>
      </c>
      <c r="Y6" s="4">
        <f>SUMIFS($N$2:$N$102,$J$2:$J$102,"=3",$L$2:$L$102,"=1",$K$2:$K$102,"=3")</f>
        <v>1630</v>
      </c>
      <c r="Z6" s="5">
        <f>SUMIFS($N$2:$N$102,$J$2:$J$102,"=4",$L$2:$L$102,"=1",$K$2:$K$102,"=3")</f>
        <v>2270</v>
      </c>
      <c r="AA6" s="7">
        <f>SUM(W6:Z6)</f>
        <v>23520</v>
      </c>
      <c r="AE6">
        <v>1</v>
      </c>
      <c r="AF6">
        <v>1</v>
      </c>
      <c r="AG6">
        <v>1</v>
      </c>
      <c r="AH6">
        <v>5</v>
      </c>
      <c r="AI6">
        <v>400</v>
      </c>
      <c r="AK6" s="44" t="s">
        <v>29</v>
      </c>
      <c r="AL6" s="4">
        <f>COUNTIFS($AG$2:$AG$325,"=3",$AE$2:$AE$325,"=1",$AF$2:$AF$325,"=1")</f>
        <v>11</v>
      </c>
      <c r="AM6" s="4">
        <f>COUNTIFS($AG$2:$AG$325,"=3",$AE$2:$AE$325,"=2",$AF$2:$AF$325,"=1")</f>
        <v>8</v>
      </c>
      <c r="AN6" s="4">
        <f>COUNTIFS($AG$2:$AG$325,"=3",$AE$2:$AE$325,"=3",$AF$2:$AF$325,"=1")</f>
        <v>10</v>
      </c>
      <c r="AO6" s="4">
        <f>COUNTIFS($AG$2:$AG$325,"=3",$AE$2:$AE$325,"=4",$AF$2:$AF$325,"=1")</f>
        <v>12</v>
      </c>
      <c r="AQ6" s="44" t="s">
        <v>29</v>
      </c>
      <c r="AR6" s="4">
        <f>SUMIFS($AI$2:$AI$325,$AG$2:$AG$325,"=3",$AE$2:$AE$325,"=1",$AF$2:$AF$325,"=1")</f>
        <v>5590</v>
      </c>
      <c r="AS6" s="4">
        <f>SUMIFS($AI$2:$AI$325,$AG$2:$AG$325,"=3",$AE$2:$AE$325,"=2",$AF$2:$AF$325,"=1")</f>
        <v>4080</v>
      </c>
      <c r="AT6" s="4">
        <f>SUMIFS($AI$2:$AI$325,$AG$2:$AG$325,"=3",$AE$2:$AE$325,"=3",$AF$2:$AF$325,"=1")</f>
        <v>8820</v>
      </c>
      <c r="AU6" s="4">
        <f>SUMIFS($AI$2:$AI$325,$AG$2:$AG$325,"=3",$AE$2:$AE$325,"=4",$AF$2:$AF$325,"=1")</f>
        <v>3180</v>
      </c>
      <c r="AV6" s="7">
        <f t="shared" si="0"/>
        <v>21670</v>
      </c>
    </row>
    <row r="7" spans="2:48" ht="15.75" customHeight="1" thickBot="1" x14ac:dyDescent="0.3">
      <c r="B7" t="s">
        <v>98</v>
      </c>
      <c r="C7">
        <v>1</v>
      </c>
      <c r="J7">
        <v>1</v>
      </c>
      <c r="K7">
        <v>1</v>
      </c>
      <c r="L7">
        <v>1</v>
      </c>
      <c r="M7">
        <v>8</v>
      </c>
      <c r="N7">
        <v>1990</v>
      </c>
      <c r="P7" s="44" t="s">
        <v>39</v>
      </c>
      <c r="Q7" s="4">
        <f>COUNTIFS($J$2:$J$102,"=1",$L$2:$L$102,"=1",$K$2:$K$102,"=4")</f>
        <v>11</v>
      </c>
      <c r="R7" s="4">
        <f>COUNTIFS($J$2:$J$102,"=2",$L$2:$L$102,"=1",$K$2:$K$102,"=4")</f>
        <v>10</v>
      </c>
      <c r="S7" s="4">
        <f>COUNTIFS($J$2:$J$102,"=3",$L$2:$L$102,"=1",$K$2:$K$102,"=4")</f>
        <v>0</v>
      </c>
      <c r="T7" s="4">
        <f>COUNTIFS($J$2:$J$102,"=4",$L$2:$L$102,"=1",$K$2:$K$102,"=4")</f>
        <v>0</v>
      </c>
      <c r="V7" s="8" t="s">
        <v>39</v>
      </c>
      <c r="W7" s="9">
        <f>SUMIFS($N$2:$N$102,$J$2:$J$102,"=1",$L$2:$L$102,"=1",$K$2:$K$102,"=4")</f>
        <v>11960</v>
      </c>
      <c r="X7" s="9">
        <f>SUMIFS($N$2:$N$102,$J$2:$J$102,"=2",$L$2:$L$102,"=1",$K$2:$K$102,"=4")</f>
        <v>8970</v>
      </c>
      <c r="Y7" s="9">
        <f>SUMIFS($N$2:$N$102,$J$2:$J$102,"=3",$L$2:$L$102,"=1",$K$2:$K$102,"=4")</f>
        <v>0</v>
      </c>
      <c r="Z7" s="10">
        <f>SUMIFS($N$2:$N$102,$J$2:$J$102,"=4",$L$2:$L$102,"=1",$K$2:$K$102,"=4")</f>
        <v>0</v>
      </c>
      <c r="AA7" s="11">
        <f>SUM(W7:Z7)</f>
        <v>20930</v>
      </c>
      <c r="AE7">
        <v>1</v>
      </c>
      <c r="AF7">
        <v>1</v>
      </c>
      <c r="AG7">
        <v>1</v>
      </c>
      <c r="AH7">
        <v>7</v>
      </c>
      <c r="AI7">
        <v>1400</v>
      </c>
      <c r="AK7" s="44" t="s">
        <v>30</v>
      </c>
      <c r="AL7" s="4">
        <f>COUNTIFS($AG$2:$AG$325,"=4",$AE$2:$AE$325,"=1",$AF$2:$AF$325,"=1")</f>
        <v>11</v>
      </c>
      <c r="AM7" s="4">
        <f>COUNTIFS($AG$2:$AG$325,"=4",$AE$2:$AE$325,"=2",$AF$2:$AF$325,"=1")</f>
        <v>8</v>
      </c>
      <c r="AN7" s="4">
        <f>COUNTIFS($AG$2:$AG$325,"=4",$AE$2:$AE$325,"=3",$AF$2:$AF$325,"=1")</f>
        <v>10</v>
      </c>
      <c r="AO7" s="4">
        <f>COUNTIFS($AG$2:$AG$325,"=4",$AE$2:$AE$325,"=4",$AF$2:$AF$325,"=1")</f>
        <v>12</v>
      </c>
      <c r="AQ7" s="44" t="s">
        <v>30</v>
      </c>
      <c r="AR7" s="4">
        <f>SUMIFS($AI$2:$AI$325,$AG$2:$AG$325,"=4",$AE$2:$AE$325,"=1",$AF$2:$AF$325,"=1")</f>
        <v>6850</v>
      </c>
      <c r="AS7" s="4">
        <f>SUMIFS($AI$2:$AI$325,$AG$2:$AG$325,"=4",$AE$2:$AE$325,"=2",$AF$2:$AF$325,"=1")</f>
        <v>3880</v>
      </c>
      <c r="AT7" s="4">
        <f>SUMIFS($AI$2:$AI$325,$AG$2:$AG$325,"=4",$AE$2:$AE$325,"=3",$AF$2:$AF$325,"=1")</f>
        <v>7200</v>
      </c>
      <c r="AU7" s="4">
        <f>SUMIFS($AI$2:$AI$325,$AG$2:$AG$325,"=4",$AE$2:$AE$325,"=4",$AF$2:$AF$325,"=1")</f>
        <v>4280</v>
      </c>
      <c r="AV7" s="11">
        <f t="shared" si="0"/>
        <v>22210</v>
      </c>
    </row>
    <row r="8" spans="2:48" ht="15.75" customHeight="1" thickBot="1" x14ac:dyDescent="0.3">
      <c r="B8" t="s">
        <v>99</v>
      </c>
      <c r="C8">
        <v>1</v>
      </c>
      <c r="J8">
        <v>1</v>
      </c>
      <c r="K8">
        <v>1</v>
      </c>
      <c r="L8">
        <v>1</v>
      </c>
      <c r="M8">
        <v>9</v>
      </c>
      <c r="N8">
        <v>1900</v>
      </c>
      <c r="P8" s="3"/>
      <c r="Q8" s="3"/>
      <c r="R8" s="3"/>
      <c r="S8" s="3"/>
      <c r="T8" s="3"/>
      <c r="V8" s="12" t="s">
        <v>93</v>
      </c>
      <c r="W8" s="13">
        <f>SUM(W4:W7)</f>
        <v>65180</v>
      </c>
      <c r="X8" s="13">
        <f>SUM(X4:X7)</f>
        <v>16660</v>
      </c>
      <c r="Y8" s="13">
        <f>SUM(Y4:Y7)</f>
        <v>1630</v>
      </c>
      <c r="Z8" s="14">
        <f>SUM(Z4:Z7)</f>
        <v>2270</v>
      </c>
      <c r="AA8" s="15">
        <f>SUM(W8:Z8)</f>
        <v>85740</v>
      </c>
      <c r="AE8">
        <v>1</v>
      </c>
      <c r="AF8">
        <v>1</v>
      </c>
      <c r="AG8">
        <v>1</v>
      </c>
      <c r="AH8">
        <v>8</v>
      </c>
      <c r="AI8">
        <v>400</v>
      </c>
      <c r="AK8" s="44" t="s">
        <v>31</v>
      </c>
      <c r="AL8" s="4">
        <f>COUNTIFS($AG$2:$AG$325,"=5",$AE$2:$AE$325,"=1",$AF$2:$AF$325,"=1")</f>
        <v>1</v>
      </c>
      <c r="AM8" s="4">
        <f>COUNTIFS($AG$2:$AG$325,"=5",$AE$2:$AE$325,"=2",$AF$2:$AF$325,"=1")</f>
        <v>1</v>
      </c>
      <c r="AN8" s="4">
        <f>COUNTIFS($AG$2:$AG$325,"=5",$AE$2:$AE$325,"=3",$AF$2:$AF$325,"=1")</f>
        <v>1</v>
      </c>
      <c r="AO8" s="4">
        <f>COUNTIFS($AG$2:$AG$325,"=5",$AE$2:$AE$325,"=4",$AF$2:$AF$325,"=1")</f>
        <v>1</v>
      </c>
      <c r="AQ8" s="44" t="s">
        <v>31</v>
      </c>
      <c r="AR8" s="4">
        <f>SUMIFS($AI$2:$AI$325,$AG$2:$AG$325,"=5",$AE$2:$AE$325,"=1",$AF$2:$AF$325,"=1")</f>
        <v>600</v>
      </c>
      <c r="AS8" s="4">
        <f>SUMIFS($AI$2:$AI$325,$AG$2:$AG$325,"=5",$AE$2:$AE$325,"=2",$AF$2:$AF$325,"=1")</f>
        <v>400</v>
      </c>
      <c r="AT8" s="4">
        <f>SUMIFS($AI$2:$AI$325,$AG$2:$AG$325,"=5",$AE$2:$AE$325,"=3",$AF$2:$AF$325,"=1")</f>
        <v>200</v>
      </c>
      <c r="AU8" s="4">
        <f>SUMIFS($AI$2:$AI$325,$AG$2:$AG$325,"=5",$AE$2:$AE$325,"=4",$AF$2:$AF$325,"=1")</f>
        <v>700</v>
      </c>
      <c r="AV8" s="11">
        <f t="shared" si="0"/>
        <v>1900</v>
      </c>
    </row>
    <row r="9" spans="2:48" x14ac:dyDescent="0.25">
      <c r="B9" t="s">
        <v>100</v>
      </c>
      <c r="C9">
        <v>1</v>
      </c>
      <c r="J9">
        <v>1</v>
      </c>
      <c r="K9">
        <v>1</v>
      </c>
      <c r="L9">
        <v>1</v>
      </c>
      <c r="M9">
        <v>10</v>
      </c>
      <c r="N9">
        <v>2250</v>
      </c>
      <c r="P9" s="3"/>
      <c r="Q9" s="3"/>
      <c r="R9" s="3"/>
      <c r="S9" s="3"/>
      <c r="T9" s="3"/>
      <c r="V9" s="3"/>
      <c r="W9" s="3"/>
      <c r="X9" s="3"/>
      <c r="Y9" s="3"/>
      <c r="Z9" s="3"/>
      <c r="AA9" s="3"/>
      <c r="AE9">
        <v>1</v>
      </c>
      <c r="AF9">
        <v>1</v>
      </c>
      <c r="AG9">
        <v>1</v>
      </c>
      <c r="AH9">
        <v>9</v>
      </c>
      <c r="AI9">
        <v>300</v>
      </c>
      <c r="AK9" s="44" t="s">
        <v>32</v>
      </c>
      <c r="AL9" s="4">
        <f>COUNTIFS($AG$2:$AG$325,"=6",$AE$2:$AE$325,"=1",$AF$2:$AF$325,"=1")</f>
        <v>1</v>
      </c>
      <c r="AM9" s="4">
        <f>COUNTIFS($AG$2:$AG$325,"=6",$AE$2:$AE$325,"=2",$AF$2:$AF$325,"=1")</f>
        <v>10</v>
      </c>
      <c r="AN9" s="4">
        <f>COUNTIFS($AG$2:$AG$325,"=6",$AE$2:$AE$325,"=3",$AF$2:$AF$325,"=1")</f>
        <v>1</v>
      </c>
      <c r="AO9" s="4">
        <f>COUNTIFS($AG$2:$AG$325,"=6",$AE$2:$AE$325,"=4",$AF$2:$AF$325,"=1")</f>
        <v>12</v>
      </c>
      <c r="AQ9" s="44" t="s">
        <v>32</v>
      </c>
      <c r="AR9" s="4">
        <f>SUMIFS($AI$2:$AI$325,$AG$2:$AG$325,"=6",$AE$2:$AE$325,"=1",$AF$2:$AF$325,"=1")</f>
        <v>800</v>
      </c>
      <c r="AS9" s="4">
        <f>SUMIFS($AI$2:$AI$325,$AG$2:$AG$325,"=6",$AE$2:$AE$325,"=2",$AF$2:$AF$325,"=1")</f>
        <v>6220</v>
      </c>
      <c r="AT9" s="4">
        <f>SUMIFS($AI$2:$AI$325,$AG$2:$AG$325,"=6",$AE$2:$AE$325,"=3",$AF$2:$AF$325,"=1")</f>
        <v>340</v>
      </c>
      <c r="AU9" s="4">
        <f>SUMIFS($AI$2:$AI$325,$AG$2:$AG$325,"=6",$AE$2:$AE$325,"=4",$AF$2:$AF$325,"=1")</f>
        <v>4320</v>
      </c>
      <c r="AV9" s="11">
        <f t="shared" si="0"/>
        <v>11680</v>
      </c>
    </row>
    <row r="10" spans="2:48" ht="15.75" customHeight="1" thickBot="1" x14ac:dyDescent="0.3">
      <c r="B10" t="s">
        <v>101</v>
      </c>
      <c r="C10">
        <v>1</v>
      </c>
      <c r="J10">
        <v>1</v>
      </c>
      <c r="K10">
        <v>1</v>
      </c>
      <c r="L10">
        <v>1</v>
      </c>
      <c r="M10">
        <v>11</v>
      </c>
      <c r="N10">
        <v>1120</v>
      </c>
      <c r="P10" s="49" t="s">
        <v>102</v>
      </c>
      <c r="Q10" s="48"/>
      <c r="R10" s="48"/>
      <c r="S10" s="48"/>
      <c r="T10" s="47"/>
      <c r="V10" s="49" t="s">
        <v>103</v>
      </c>
      <c r="W10" s="48"/>
      <c r="X10" s="48"/>
      <c r="Y10" s="48"/>
      <c r="Z10" s="48"/>
      <c r="AA10" s="47"/>
      <c r="AE10">
        <v>1</v>
      </c>
      <c r="AF10">
        <v>1</v>
      </c>
      <c r="AG10">
        <v>1</v>
      </c>
      <c r="AH10">
        <v>10</v>
      </c>
      <c r="AI10">
        <v>700</v>
      </c>
      <c r="AK10" s="44" t="s">
        <v>33</v>
      </c>
      <c r="AL10" s="4">
        <f>COUNTIFS($AG$2:$AG$325,"=7",$AE$2:$AE$325,"=1",$AF$2:$AF$325,"=1")</f>
        <v>1</v>
      </c>
      <c r="AM10" s="4">
        <f>COUNTIFS($AG$2:$AG$325,"=7",$AE$2:$AE$325,"=2",$AF$2:$AF$325,"=1")</f>
        <v>1</v>
      </c>
      <c r="AN10" s="4">
        <f>COUNTIFS($AG$2:$AG$325,"=7",$AE$2:$AE$325,"=3",$AF$2:$AF$325,"=1")</f>
        <v>1</v>
      </c>
      <c r="AO10" s="4">
        <f>COUNTIFS($AG$2:$AG$325,"=7",$AE$2:$AE$325,"=4",$AF$2:$AF$325,"=1")</f>
        <v>1</v>
      </c>
      <c r="AQ10" s="44" t="s">
        <v>33</v>
      </c>
      <c r="AR10" s="4">
        <f>SUMIFS($AI$2:$AI$325,$AG$2:$AG$325,"=7",$AE$2:$AE$325,"=1",$AF$2:$AF$325,"=1")</f>
        <v>600</v>
      </c>
      <c r="AS10" s="4">
        <f>SUMIFS($AI$2:$AI$325,$AG$2:$AG$325,"=7",$AE$2:$AE$325,"=2",$AF$2:$AF$325,"=1")</f>
        <v>600</v>
      </c>
      <c r="AT10" s="4">
        <f>SUMIFS($AI$2:$AI$325,$AG$2:$AG$325,"=7",$AE$2:$AE$325,"=3",$AF$2:$AF$325,"=1")</f>
        <v>600</v>
      </c>
      <c r="AU10" s="4">
        <f>SUMIFS($AI$2:$AI$325,$AG$2:$AG$325,"=7",$AE$2:$AE$325,"=4",$AF$2:$AF$325,"=1")</f>
        <v>130</v>
      </c>
      <c r="AV10" s="11">
        <f t="shared" si="0"/>
        <v>1930</v>
      </c>
    </row>
    <row r="11" spans="2:48" ht="15.75" customHeight="1" thickBot="1" x14ac:dyDescent="0.3">
      <c r="B11" t="s">
        <v>104</v>
      </c>
      <c r="C11">
        <v>1</v>
      </c>
      <c r="J11">
        <v>1</v>
      </c>
      <c r="K11">
        <v>1</v>
      </c>
      <c r="L11">
        <v>1</v>
      </c>
      <c r="M11">
        <v>12</v>
      </c>
      <c r="N11">
        <v>1900</v>
      </c>
      <c r="P11" s="44" t="s">
        <v>92</v>
      </c>
      <c r="Q11" s="44" t="s">
        <v>40</v>
      </c>
      <c r="R11" s="44" t="s">
        <v>41</v>
      </c>
      <c r="S11" s="44" t="s">
        <v>42</v>
      </c>
      <c r="T11" s="44" t="s">
        <v>43</v>
      </c>
      <c r="V11" s="44" t="s">
        <v>92</v>
      </c>
      <c r="W11" s="44" t="s">
        <v>40</v>
      </c>
      <c r="X11" s="44" t="s">
        <v>41</v>
      </c>
      <c r="Y11" s="44" t="s">
        <v>42</v>
      </c>
      <c r="Z11" s="40" t="s">
        <v>43</v>
      </c>
      <c r="AA11" s="6" t="s">
        <v>93</v>
      </c>
      <c r="AE11">
        <v>1</v>
      </c>
      <c r="AF11">
        <v>1</v>
      </c>
      <c r="AG11">
        <v>1</v>
      </c>
      <c r="AH11">
        <v>11</v>
      </c>
      <c r="AI11">
        <v>200</v>
      </c>
      <c r="AK11" s="44" t="s">
        <v>34</v>
      </c>
      <c r="AL11" s="4">
        <f>COUNTIFS($AG$2:$AG$325,"=8",$AE$2:$AE$325,"=1",$AF$2:$AF$325,"=1")</f>
        <v>10</v>
      </c>
      <c r="AM11" s="4">
        <f>COUNTIFS($AG$2:$AG$325,"=8",$AE$2:$AE$325,"=2",$AF$2:$AF$325,"=1")</f>
        <v>10</v>
      </c>
      <c r="AN11" s="4">
        <f>COUNTIFS($AG$2:$AG$325,"=8",$AE$2:$AE$325,"=3",$AF$2:$AF$325,"=1")</f>
        <v>8</v>
      </c>
      <c r="AO11" s="4">
        <f>COUNTIFS($AG$2:$AG$325,"=8",$AE$2:$AE$325,"=4",$AF$2:$AF$325,"=1")</f>
        <v>12</v>
      </c>
      <c r="AQ11" s="8" t="s">
        <v>34</v>
      </c>
      <c r="AR11" s="9">
        <f>SUMIFS($AI$2:$AI$325,$AG$2:$AG$325,"=8",$AE$2:$AE$325,"=1",$AF$2:$AF$325,"=1")</f>
        <v>8650</v>
      </c>
      <c r="AS11" s="9">
        <f>SUMIFS($AI$2:$AI$325,$AG$2:$AG$325,"=8",$AE$2:$AE$325,"=2",$AF$2:$AF$325,"=1")</f>
        <v>4320</v>
      </c>
      <c r="AT11" s="9">
        <f>SUMIFS($AI$2:$AI$325,$AG$2:$AG$325,"=8",$AE$2:$AE$325,"=3",$AF$2:$AF$325,"=1")</f>
        <v>5800</v>
      </c>
      <c r="AU11" s="9">
        <f>SUMIFS($AI$2:$AI$325,$AG$2:$AG$325,"=8",$AE$2:$AE$325,"=4",$AF$2:$AF$325,"=1")</f>
        <v>4420</v>
      </c>
      <c r="AV11" s="11">
        <f t="shared" si="0"/>
        <v>23190</v>
      </c>
    </row>
    <row r="12" spans="2:48" ht="15.75" customHeight="1" thickBot="1" x14ac:dyDescent="0.3">
      <c r="B12" t="s">
        <v>105</v>
      </c>
      <c r="C12">
        <v>1</v>
      </c>
      <c r="J12">
        <v>1</v>
      </c>
      <c r="K12">
        <v>1</v>
      </c>
      <c r="L12">
        <v>2</v>
      </c>
      <c r="M12">
        <v>2</v>
      </c>
      <c r="N12">
        <v>2380</v>
      </c>
      <c r="P12" s="44" t="s">
        <v>36</v>
      </c>
      <c r="Q12" s="4">
        <f>COUNTIFS($J$2:$J$102,"=1",$L$2:$L$102,"=2",$K$2:$K$102,"=1")</f>
        <v>10</v>
      </c>
      <c r="R12" s="4">
        <f>COUNTIFS($J$2:$J$102,"=2",$L$2:$L$102,"=2",$K$2:$K$102,"=1")</f>
        <v>1</v>
      </c>
      <c r="S12" s="4">
        <f>COUNTIFS($J$2:$J$102,"=3",$L$2:$L$102,"=2",$K$2:$K$102,"=1")</f>
        <v>0</v>
      </c>
      <c r="T12" s="4">
        <f>COUNTIFS($J$2:$J$102,"=4",$L$2:$L$102,"=2",$K$2:$K$102,"=1")</f>
        <v>0</v>
      </c>
      <c r="V12" s="44" t="s">
        <v>36</v>
      </c>
      <c r="W12" s="4">
        <f>SUMIFS($N$2:$N$102,$J$2:$J$102,"=1",$L$2:$L$102,"=2",$K$2:$K$102,"=1")</f>
        <v>18640</v>
      </c>
      <c r="X12" s="4">
        <f>SUMIFS($N$2:$N$102,$J$2:$J$102,"=2",$L$2:$L$102,"=2",$K$2:$K$102,"=1")</f>
        <v>370</v>
      </c>
      <c r="Y12" s="4">
        <f>SUMIFS($N$2:$N$102,$J$2:$J$102,"=3",$L$2:$L$102,"=2",$K$2:$K$102,"=1")</f>
        <v>0</v>
      </c>
      <c r="Z12" s="5">
        <f>SUMIFS($N$2:$N$102,$J$2:$J$102,"=4",$L$2:$L$102,"=2",$K$2:$K$102,"=1")</f>
        <v>0</v>
      </c>
      <c r="AA12" s="7">
        <f>SUM(W12:Z12)</f>
        <v>19010</v>
      </c>
      <c r="AE12">
        <v>1</v>
      </c>
      <c r="AF12">
        <v>1</v>
      </c>
      <c r="AG12">
        <v>1</v>
      </c>
      <c r="AH12">
        <v>12</v>
      </c>
      <c r="AI12">
        <v>300</v>
      </c>
      <c r="AQ12" s="12" t="s">
        <v>93</v>
      </c>
      <c r="AR12" s="16">
        <f>SUM(AR4:AR11)</f>
        <v>31090</v>
      </c>
      <c r="AS12" s="16">
        <f>SUM(AS4:AS11)</f>
        <v>22900</v>
      </c>
      <c r="AT12" s="16">
        <f>SUM(AT4:AT11)</f>
        <v>26460</v>
      </c>
      <c r="AU12" s="16">
        <f>SUM(AU4:AU11)</f>
        <v>23640</v>
      </c>
      <c r="AV12" s="17">
        <f>SUM(AV4:AV11)</f>
        <v>104090</v>
      </c>
    </row>
    <row r="13" spans="2:48" x14ac:dyDescent="0.25">
      <c r="B13" t="s">
        <v>106</v>
      </c>
      <c r="C13">
        <v>1</v>
      </c>
      <c r="J13">
        <v>1</v>
      </c>
      <c r="K13">
        <v>1</v>
      </c>
      <c r="L13">
        <v>2</v>
      </c>
      <c r="M13">
        <v>3</v>
      </c>
      <c r="N13">
        <v>1460</v>
      </c>
      <c r="P13" s="44" t="s">
        <v>37</v>
      </c>
      <c r="Q13" s="4">
        <f>COUNTIFS($J$2:$J$102,"=1",$L$2:$L$102,"=2",$K$2:$K$102,"=2")</f>
        <v>9</v>
      </c>
      <c r="R13" s="4">
        <f>COUNTIFS($J$2:$J$102,"=2",$L$2:$L$102,"=2",$K$2:$K$102,"=2")</f>
        <v>4</v>
      </c>
      <c r="S13" s="4">
        <f>COUNTIFS($J$2:$J$102,"=3",$L$2:$L$102,"=2",$K$2:$K$102,"=2")</f>
        <v>0</v>
      </c>
      <c r="T13" s="4">
        <f>COUNTIFS($J$2:$J$102,"=4",$L$2:$L$102,"=2",$K$2:$K$102,"=2")</f>
        <v>0</v>
      </c>
      <c r="V13" s="44" t="s">
        <v>37</v>
      </c>
      <c r="W13" s="4">
        <f>SUMIFS($N$2:$N$102,$J$2:$J$102,"=1",$L$2:$L$102,"=2",$K$2:$K$102,"=2")</f>
        <v>10340</v>
      </c>
      <c r="X13" s="4">
        <f>SUMIFS($N$2:$N$102,$J$2:$J$102,"=2",$L$2:$L$102,"=2",$K$2:$K$102,"=2")</f>
        <v>2360</v>
      </c>
      <c r="Y13" s="4">
        <f>SUMIFS($N$2:$N$102,$J$2:$J$102,"=3",$L$2:$L$102,"=2",$K$2:$K$102,"=2")</f>
        <v>0</v>
      </c>
      <c r="Z13" s="5">
        <f>SUMIFS($N$2:$N$102,$J$2:$J$102,"=4",$L$2:$L$102,"=2",$K$2:$K$102,"=2")</f>
        <v>0</v>
      </c>
      <c r="AA13" s="7">
        <f>SUM(W13:Z13)</f>
        <v>12700</v>
      </c>
      <c r="AE13">
        <v>1</v>
      </c>
      <c r="AF13">
        <v>1</v>
      </c>
      <c r="AG13">
        <v>2</v>
      </c>
      <c r="AH13">
        <v>1</v>
      </c>
      <c r="AI13">
        <v>800</v>
      </c>
    </row>
    <row r="14" spans="2:48" ht="15.75" customHeight="1" thickBot="1" x14ac:dyDescent="0.3">
      <c r="B14" t="s">
        <v>107</v>
      </c>
      <c r="C14">
        <v>1</v>
      </c>
      <c r="J14">
        <v>1</v>
      </c>
      <c r="K14">
        <v>1</v>
      </c>
      <c r="L14">
        <v>2</v>
      </c>
      <c r="M14">
        <v>4</v>
      </c>
      <c r="N14">
        <v>2800</v>
      </c>
      <c r="P14" s="44" t="s">
        <v>38</v>
      </c>
      <c r="Q14" s="4">
        <f>COUNTIFS($J$2:$J$102,"=1",$L$2:$L$102,"=2",$K$2:$K$102,"=3")</f>
        <v>9</v>
      </c>
      <c r="R14" s="4">
        <f>COUNTIFS($J$2:$J$102,"=2",$L$2:$L$102,"=2",$K$2:$K$102,"=3")</f>
        <v>0</v>
      </c>
      <c r="S14" s="4">
        <f>COUNTIFS($J$2:$J$102,"=3",$L$2:$L$102,"=2",$K$2:$K$102,"=3")</f>
        <v>0</v>
      </c>
      <c r="T14" s="4">
        <f>COUNTIFS($J$2:$J$102,"=4",$L$2:$L$102,"=2",$K$2:$K$102,"=3")</f>
        <v>0</v>
      </c>
      <c r="V14" s="44" t="s">
        <v>38</v>
      </c>
      <c r="W14" s="4">
        <f>SUMIFS($N$2:$N$102,$J$2:$J$102,"=1",$L$2:$L$102,"=2",$K$2:$K$102,"=3")</f>
        <v>20640</v>
      </c>
      <c r="X14" s="4">
        <f>SUMIFS($N$2:$N$102,$J$2:$J$102,"=2",$L$2:$L$102,"=2",$K$2:$K$102,"=3")</f>
        <v>0</v>
      </c>
      <c r="Y14" s="4">
        <f>SUMIFS($N$2:$N$102,$J$2:$J$102,"=3",$L$2:$L$102,"=2",$K$2:$K$102,"=3")</f>
        <v>0</v>
      </c>
      <c r="Z14" s="5">
        <f>SUMIFS($N$2:$N$102,$J$2:$J$102,"=4",$L$2:$L$102,"=2",$K$2:$K$102,"=3")</f>
        <v>0</v>
      </c>
      <c r="AA14" s="7">
        <f>SUM(W14:Z14)</f>
        <v>20640</v>
      </c>
      <c r="AE14">
        <v>1</v>
      </c>
      <c r="AF14">
        <v>1</v>
      </c>
      <c r="AG14">
        <v>3</v>
      </c>
      <c r="AH14">
        <v>1</v>
      </c>
      <c r="AI14">
        <v>600</v>
      </c>
      <c r="AK14" s="49" t="s">
        <v>108</v>
      </c>
      <c r="AL14" s="48"/>
      <c r="AM14" s="48"/>
      <c r="AN14" s="48"/>
      <c r="AO14" s="47"/>
      <c r="AQ14" s="49" t="s">
        <v>109</v>
      </c>
      <c r="AR14" s="48"/>
      <c r="AS14" s="48"/>
      <c r="AT14" s="48"/>
      <c r="AU14" s="48"/>
      <c r="AV14" s="47"/>
    </row>
    <row r="15" spans="2:48" ht="15.75" customHeight="1" thickBot="1" x14ac:dyDescent="0.3">
      <c r="B15" t="s">
        <v>110</v>
      </c>
      <c r="C15">
        <v>1</v>
      </c>
      <c r="J15">
        <v>1</v>
      </c>
      <c r="K15">
        <v>1</v>
      </c>
      <c r="L15">
        <v>2</v>
      </c>
      <c r="M15">
        <v>5</v>
      </c>
      <c r="N15">
        <v>980</v>
      </c>
      <c r="P15" s="44" t="s">
        <v>39</v>
      </c>
      <c r="Q15" s="4">
        <f>COUNTIFS($J$2:$J$102,"=1",$L$2:$L$102,"=2",$K$2:$K$102,"=4")</f>
        <v>10</v>
      </c>
      <c r="R15" s="4">
        <f>COUNTIFS($J$2:$J$102,"=2",$L$2:$L$102,"=2",$K$2:$K$102,"=4")</f>
        <v>2</v>
      </c>
      <c r="S15" s="4">
        <f>COUNTIFS($J$2:$J$102,"=3",$L$2:$L$102,"=2",$K$2:$K$102,"=4")</f>
        <v>0</v>
      </c>
      <c r="T15" s="4">
        <f>COUNTIFS($J$2:$J$102,"=4",$L$2:$L$102,"=2",$K$2:$K$102,"=4")</f>
        <v>0</v>
      </c>
      <c r="V15" s="8" t="s">
        <v>39</v>
      </c>
      <c r="W15" s="9">
        <f>SUMIFS($N$2:$N$102,$J$2:$J$102,"=1",$L$2:$L$102,"=2",$K$2:$K$102,"=4")</f>
        <v>10040</v>
      </c>
      <c r="X15" s="9">
        <f>SUMIFS($N$2:$N$102,$J$2:$J$102,"=2",$L$2:$L$102,"=2",$K$2:$K$102,"=4")</f>
        <v>3020</v>
      </c>
      <c r="Y15" s="9">
        <f>SUMIFS($N$2:$N$102,$J$2:$J$102,"=3",$L$2:$L$102,"=2",$K$2:$K$102,"=4")</f>
        <v>0</v>
      </c>
      <c r="Z15" s="10">
        <f>SUMIFS($N$2:$N$102,$J$2:$J$102,"=4",$L$2:$L$102,"=2",$K$2:$K$102,"=4")</f>
        <v>0</v>
      </c>
      <c r="AA15" s="11">
        <f>SUM(W15:Z15)</f>
        <v>13060</v>
      </c>
      <c r="AE15">
        <v>1</v>
      </c>
      <c r="AF15">
        <v>1</v>
      </c>
      <c r="AG15">
        <v>3</v>
      </c>
      <c r="AH15">
        <v>2</v>
      </c>
      <c r="AI15">
        <v>740</v>
      </c>
      <c r="AK15" s="44" t="s">
        <v>94</v>
      </c>
      <c r="AL15" s="44" t="s">
        <v>36</v>
      </c>
      <c r="AM15" s="44" t="s">
        <v>37</v>
      </c>
      <c r="AN15" s="44" t="s">
        <v>38</v>
      </c>
      <c r="AO15" s="44" t="s">
        <v>39</v>
      </c>
      <c r="AQ15" s="44" t="s">
        <v>94</v>
      </c>
      <c r="AR15" s="44" t="s">
        <v>36</v>
      </c>
      <c r="AS15" s="44" t="s">
        <v>37</v>
      </c>
      <c r="AT15" s="44" t="s">
        <v>38</v>
      </c>
      <c r="AU15" s="44" t="s">
        <v>39</v>
      </c>
      <c r="AV15" s="6" t="s">
        <v>93</v>
      </c>
    </row>
    <row r="16" spans="2:48" ht="15.75" customHeight="1" thickBot="1" x14ac:dyDescent="0.3">
      <c r="B16" t="s">
        <v>111</v>
      </c>
      <c r="C16">
        <v>1</v>
      </c>
      <c r="J16">
        <v>1</v>
      </c>
      <c r="K16">
        <v>1</v>
      </c>
      <c r="L16">
        <v>2</v>
      </c>
      <c r="M16">
        <v>7</v>
      </c>
      <c r="N16">
        <v>2800</v>
      </c>
      <c r="V16" s="12" t="s">
        <v>93</v>
      </c>
      <c r="W16" s="13">
        <f>SUM(W12:W15)</f>
        <v>59660</v>
      </c>
      <c r="X16" s="13">
        <f>SUM(X12:X15)</f>
        <v>5750</v>
      </c>
      <c r="Y16" s="13">
        <f>SUM(Y12:Y15)</f>
        <v>0</v>
      </c>
      <c r="Z16" s="14">
        <f>SUM(Z12:Z15)</f>
        <v>0</v>
      </c>
      <c r="AA16" s="15">
        <f>SUM(W16:Z16)</f>
        <v>65410</v>
      </c>
      <c r="AE16">
        <v>1</v>
      </c>
      <c r="AF16">
        <v>1</v>
      </c>
      <c r="AG16">
        <v>3</v>
      </c>
      <c r="AH16">
        <v>3</v>
      </c>
      <c r="AI16">
        <v>300</v>
      </c>
      <c r="AK16" s="44" t="s">
        <v>27</v>
      </c>
      <c r="AL16" s="4">
        <f>COUNTIFS($AG$2:$AG$325,"=1",$AE$2:$AE$325,"=1",$AF$2:$AF$325,"=2")</f>
        <v>0</v>
      </c>
      <c r="AM16" s="4">
        <f>COUNTIFS($AG$2:$AG$325,"=1",$AE$2:$AE$325,"=2",$AF$2:$AF$325,"=2")</f>
        <v>0</v>
      </c>
      <c r="AN16" s="4">
        <f>COUNTIFS($AG$2:$AG$325,"=1",$AE$2:$AE$325,"=3",$AF$2:$AF$325,"=2")</f>
        <v>0</v>
      </c>
      <c r="AO16" s="4">
        <f>COUNTIFS($AG$2:$AG$325,"=1",$AE$2:$AE$325,"=4",$AF$2:$AF$325,"=2")</f>
        <v>0</v>
      </c>
      <c r="AQ16" s="44" t="s">
        <v>27</v>
      </c>
      <c r="AR16" s="4">
        <f>SUMIFS($AI$2:$AI$325,$AG$2:$AG$325,"=1",$AE$2:$AE$325,"=1",$AF$2:$AF$325,"=2")</f>
        <v>0</v>
      </c>
      <c r="AS16" s="4">
        <f>SUMIFS($AI$2:$AI$325,$AG$2:$AG$325,"=1",$AE$2:$AE$325,"=2",$AF$2:$AF$325,"=2")</f>
        <v>0</v>
      </c>
      <c r="AT16" s="4">
        <f>SUMIFS($AI$2:$AI$325,$AG$2:$AG$325,"=1",$AE$2:$AE$325,"=3",$AF$2:$AF$325,"=2")</f>
        <v>0</v>
      </c>
      <c r="AU16" s="4">
        <f>SUMIFS($AI$2:$AI$325,$AG$2:$AG$325,"=1",$AE$2:$AE$325,"=4",$AF$2:$AF$325,"=2")</f>
        <v>0</v>
      </c>
      <c r="AV16" s="7">
        <f t="shared" ref="AV16:AV23" si="1">SUM(AR16:AU16)</f>
        <v>0</v>
      </c>
    </row>
    <row r="17" spans="2:48" x14ac:dyDescent="0.25">
      <c r="B17" t="s">
        <v>112</v>
      </c>
      <c r="C17">
        <v>1</v>
      </c>
      <c r="J17">
        <v>1</v>
      </c>
      <c r="K17">
        <v>1</v>
      </c>
      <c r="L17">
        <v>2</v>
      </c>
      <c r="M17">
        <v>8</v>
      </c>
      <c r="N17">
        <v>2010</v>
      </c>
      <c r="AE17">
        <v>1</v>
      </c>
      <c r="AF17">
        <v>1</v>
      </c>
      <c r="AG17">
        <v>3</v>
      </c>
      <c r="AH17">
        <v>4</v>
      </c>
      <c r="AI17">
        <v>600</v>
      </c>
      <c r="AK17" s="44" t="s">
        <v>28</v>
      </c>
      <c r="AL17" s="4">
        <f>COUNTIFS($AG$2:$AG$325,"=2",$AE$2:$AE$325,"=1",$AF$2:$AF$325,"=2")</f>
        <v>10</v>
      </c>
      <c r="AM17" s="4">
        <f>COUNTIFS($AG$2:$AG$325,"=2",$AE$2:$AE$325,"=2",$AF$2:$AF$325,"=2")</f>
        <v>7</v>
      </c>
      <c r="AN17" s="4">
        <f>COUNTIFS($AG$2:$AG$325,"=2",$AE$2:$AE$325,"=3",$AF$2:$AF$325,"=2")</f>
        <v>9</v>
      </c>
      <c r="AO17" s="4">
        <f>COUNTIFS($AG$2:$AG$325,"=2",$AE$2:$AE$325,"=4",$AF$2:$AF$325,"=2")</f>
        <v>11</v>
      </c>
      <c r="AQ17" s="44" t="s">
        <v>28</v>
      </c>
      <c r="AR17" s="4">
        <f>SUMIFS($AI$2:$AI$325,$AG$2:$AG$325,"=2",$AE$2:$AE$325,"=1",$AF$2:$AF$325,"=2")</f>
        <v>6630</v>
      </c>
      <c r="AS17" s="4">
        <f>SUMIFS($AI$2:$AI$325,$AG$2:$AG$325,"=2",$AE$2:$AE$325,"=2",$AF$2:$AF$325,"=2")</f>
        <v>5880</v>
      </c>
      <c r="AT17" s="4">
        <f>SUMIFS($AI$2:$AI$325,$AG$2:$AG$325,"=2",$AE$2:$AE$325,"=3",$AF$2:$AF$325,"=2")</f>
        <v>5860</v>
      </c>
      <c r="AU17" s="4">
        <f>SUMIFS($AI$2:$AI$325,$AG$2:$AG$325,"=2",$AE$2:$AE$325,"=4",$AF$2:$AF$325,"=2")</f>
        <v>3670</v>
      </c>
      <c r="AV17" s="7">
        <f t="shared" si="1"/>
        <v>22040</v>
      </c>
    </row>
    <row r="18" spans="2:48" x14ac:dyDescent="0.25">
      <c r="B18" t="s">
        <v>113</v>
      </c>
      <c r="C18">
        <v>1</v>
      </c>
      <c r="J18">
        <v>1</v>
      </c>
      <c r="K18">
        <v>1</v>
      </c>
      <c r="L18">
        <v>2</v>
      </c>
      <c r="M18">
        <v>9</v>
      </c>
      <c r="N18">
        <v>1460</v>
      </c>
      <c r="AE18">
        <v>1</v>
      </c>
      <c r="AF18">
        <v>1</v>
      </c>
      <c r="AG18">
        <v>3</v>
      </c>
      <c r="AH18">
        <v>5</v>
      </c>
      <c r="AI18">
        <v>740</v>
      </c>
      <c r="AK18" s="44" t="s">
        <v>29</v>
      </c>
      <c r="AL18" s="4">
        <f>COUNTIFS($AG$2:$AG$325,"=3",$AE$2:$AE$325,"=1",$AF$2:$AF$325,"=2")</f>
        <v>0</v>
      </c>
      <c r="AM18" s="4">
        <f>COUNTIFS($AG$2:$AG$325,"=3",$AE$2:$AE$325,"=2",$AF$2:$AF$325,"=2")</f>
        <v>0</v>
      </c>
      <c r="AN18" s="4">
        <f>COUNTIFS($AG$2:$AG$325,"=3",$AE$2:$AE$325,"=3",$AF$2:$AF$325,"=2")</f>
        <v>0</v>
      </c>
      <c r="AO18" s="4">
        <f>COUNTIFS($AG$2:$AG$325,"=3",$AE$2:$AE$325,"=4",$AF$2:$AF$325,"=2")</f>
        <v>0</v>
      </c>
      <c r="AQ18" s="44" t="s">
        <v>29</v>
      </c>
      <c r="AR18" s="4">
        <f>SUMIFS($AI$2:$AI$325,$AG$2:$AG$325,"=3",$AE$2:$AE$325,"=1",$AF$2:$AF$325,"=2")</f>
        <v>0</v>
      </c>
      <c r="AS18" s="4">
        <f>SUMIFS($AI$2:$AI$325,$AG$2:$AG$325,"=3",$AE$2:$AE$325,"=2",$AF$2:$AF$325,"=2")</f>
        <v>0</v>
      </c>
      <c r="AT18" s="4">
        <f>SUMIFS($AI$2:$AI$325,$AG$2:$AG$325,"=3",$AE$2:$AE$325,"=3",$AF$2:$AF$325,"=2")</f>
        <v>0</v>
      </c>
      <c r="AU18" s="4">
        <f>SUMIFS($AI$2:$AI$325,$AG$2:$AG$325,"=3",$AE$2:$AE$325,"=4",$AF$2:$AF$325,"=2")</f>
        <v>0</v>
      </c>
      <c r="AV18" s="7">
        <f t="shared" si="1"/>
        <v>0</v>
      </c>
    </row>
    <row r="19" spans="2:48" x14ac:dyDescent="0.25">
      <c r="B19" t="s">
        <v>114</v>
      </c>
      <c r="C19">
        <v>1</v>
      </c>
      <c r="J19">
        <v>1</v>
      </c>
      <c r="K19">
        <v>1</v>
      </c>
      <c r="L19">
        <v>2</v>
      </c>
      <c r="M19">
        <v>10</v>
      </c>
      <c r="N19">
        <v>1400</v>
      </c>
      <c r="AE19">
        <v>1</v>
      </c>
      <c r="AF19">
        <v>1</v>
      </c>
      <c r="AG19">
        <v>3</v>
      </c>
      <c r="AH19">
        <v>7</v>
      </c>
      <c r="AI19">
        <v>600</v>
      </c>
      <c r="AK19" s="44" t="s">
        <v>30</v>
      </c>
      <c r="AL19" s="4">
        <f>COUNTIFS($AG$2:$AG$325,"=4",$AE$2:$AE$325,"=1",$AF$2:$AF$325,"=2")</f>
        <v>0</v>
      </c>
      <c r="AM19" s="4">
        <f>COUNTIFS($AG$2:$AG$325,"=4",$AE$2:$AE$325,"=2",$AF$2:$AF$325,"=2")</f>
        <v>0</v>
      </c>
      <c r="AN19" s="4">
        <f>COUNTIFS($AG$2:$AG$325,"=4",$AE$2:$AE$325,"=3",$AF$2:$AF$325,"=2")</f>
        <v>0</v>
      </c>
      <c r="AO19" s="4">
        <f>COUNTIFS($AG$2:$AG$325,"=4",$AE$2:$AE$325,"=4",$AF$2:$AF$325,"=2")</f>
        <v>0</v>
      </c>
      <c r="AQ19" s="44" t="s">
        <v>30</v>
      </c>
      <c r="AR19" s="4">
        <f>SUMIFS($AI$2:$AI$325,$AG$2:$AG$325,"=4",$AE$2:$AE$325,"=1",$AF$2:$AF$325,"=2")</f>
        <v>0</v>
      </c>
      <c r="AS19" s="4">
        <f>SUMIFS($AI$2:$AI$325,$AG$2:$AG$325,"=4",$AE$2:$AE$325,"=2",$AF$2:$AF$325,"=2")</f>
        <v>0</v>
      </c>
      <c r="AT19" s="4">
        <f>SUMIFS($AI$2:$AI$325,$AG$2:$AG$325,"=4",$AE$2:$AE$325,"=3",$AF$2:$AF$325,"=2")</f>
        <v>0</v>
      </c>
      <c r="AU19" s="4">
        <f>SUMIFS($AI$2:$AI$325,$AG$2:$AG$325,"=4",$AE$2:$AE$325,"=4",$AF$2:$AF$325,"=2")</f>
        <v>0</v>
      </c>
      <c r="AV19" s="11">
        <f t="shared" si="1"/>
        <v>0</v>
      </c>
    </row>
    <row r="20" spans="2:48" x14ac:dyDescent="0.25">
      <c r="B20" t="s">
        <v>115</v>
      </c>
      <c r="C20">
        <v>1</v>
      </c>
      <c r="J20">
        <v>1</v>
      </c>
      <c r="K20">
        <v>1</v>
      </c>
      <c r="L20">
        <v>2</v>
      </c>
      <c r="M20">
        <v>11</v>
      </c>
      <c r="N20">
        <v>1890</v>
      </c>
      <c r="AE20">
        <v>1</v>
      </c>
      <c r="AF20">
        <v>1</v>
      </c>
      <c r="AG20">
        <v>3</v>
      </c>
      <c r="AH20">
        <v>8</v>
      </c>
      <c r="AI20">
        <v>740</v>
      </c>
      <c r="AK20" s="44" t="s">
        <v>31</v>
      </c>
      <c r="AL20" s="4">
        <f>COUNTIFS($AG$2:$AG$325,"=5",$AE$2:$AE$325,"=1",$AF$2:$AF$325,"=2")</f>
        <v>9</v>
      </c>
      <c r="AM20" s="4">
        <f>COUNTIFS($AG$2:$AG$325,"=5",$AE$2:$AE$325,"=2",$AF$2:$AF$325,"=2")</f>
        <v>9</v>
      </c>
      <c r="AN20" s="4">
        <f>COUNTIFS($AG$2:$AG$325,"=5",$AE$2:$AE$325,"=3",$AF$2:$AF$325,"=2")</f>
        <v>7</v>
      </c>
      <c r="AO20" s="4">
        <f>COUNTIFS($AG$2:$AG$325,"=5",$AE$2:$AE$325,"=4",$AF$2:$AF$325,"=2")</f>
        <v>11</v>
      </c>
      <c r="AQ20" s="44" t="s">
        <v>31</v>
      </c>
      <c r="AR20" s="4">
        <f>SUMIFS($AI$2:$AI$325,$AG$2:$AG$325,"=5",$AE$2:$AE$325,"=1",$AF$2:$AF$325,"=2")</f>
        <v>4200</v>
      </c>
      <c r="AS20" s="4">
        <f>SUMIFS($AI$2:$AI$325,$AG$2:$AG$325,"=5",$AE$2:$AE$325,"=2",$AF$2:$AF$325,"=2")</f>
        <v>2800</v>
      </c>
      <c r="AT20" s="4">
        <f>SUMIFS($AI$2:$AI$325,$AG$2:$AG$325,"=5",$AE$2:$AE$325,"=3",$AF$2:$AF$325,"=2")</f>
        <v>2600</v>
      </c>
      <c r="AU20" s="4">
        <f>SUMIFS($AI$2:$AI$325,$AG$2:$AG$325,"=5",$AE$2:$AE$325,"=4",$AF$2:$AF$325,"=2")</f>
        <v>5400</v>
      </c>
      <c r="AV20" s="11">
        <f t="shared" si="1"/>
        <v>15000</v>
      </c>
    </row>
    <row r="21" spans="2:48" x14ac:dyDescent="0.25">
      <c r="B21" t="s">
        <v>116</v>
      </c>
      <c r="C21">
        <v>1</v>
      </c>
      <c r="J21">
        <v>1</v>
      </c>
      <c r="K21">
        <v>1</v>
      </c>
      <c r="L21">
        <v>2</v>
      </c>
      <c r="M21">
        <v>12</v>
      </c>
      <c r="N21">
        <v>1460</v>
      </c>
      <c r="AE21">
        <v>1</v>
      </c>
      <c r="AF21">
        <v>1</v>
      </c>
      <c r="AG21">
        <v>3</v>
      </c>
      <c r="AH21">
        <v>9</v>
      </c>
      <c r="AI21">
        <v>300</v>
      </c>
      <c r="AK21" s="44" t="s">
        <v>32</v>
      </c>
      <c r="AL21" s="4">
        <f>COUNTIFS($AG$2:$AG$325,"=6",$AE$2:$AE$325,"=1",$AF$2:$AF$325,"=2")</f>
        <v>9</v>
      </c>
      <c r="AM21" s="4">
        <f>COUNTIFS($AG$2:$AG$325,"=6",$AE$2:$AE$325,"=2",$AF$2:$AF$325,"=2")</f>
        <v>0</v>
      </c>
      <c r="AN21" s="4">
        <f>COUNTIFS($AG$2:$AG$325,"=6",$AE$2:$AE$325,"=3",$AF$2:$AF$325,"=2")</f>
        <v>7</v>
      </c>
      <c r="AO21" s="4">
        <f>COUNTIFS($AG$2:$AG$325,"=6",$AE$2:$AE$325,"=4",$AF$2:$AF$325,"=2")</f>
        <v>0</v>
      </c>
      <c r="AQ21" s="44" t="s">
        <v>32</v>
      </c>
      <c r="AR21" s="4">
        <f>SUMIFS($AI$2:$AI$325,$AG$2:$AG$325,"=6",$AE$2:$AE$325,"=1",$AF$2:$AF$325,"=2")</f>
        <v>4670</v>
      </c>
      <c r="AS21" s="4">
        <f>SUMIFS($AI$2:$AI$325,$AG$2:$AG$325,"=6",$AE$2:$AE$325,"=2",$AF$2:$AF$325,"=2")</f>
        <v>0</v>
      </c>
      <c r="AT21" s="4">
        <f>SUMIFS($AI$2:$AI$325,$AG$2:$AG$325,"=6",$AE$2:$AE$325,"=3",$AF$2:$AF$325,"=2")</f>
        <v>4900</v>
      </c>
      <c r="AU21" s="4">
        <f>SUMIFS($AI$2:$AI$325,$AG$2:$AG$325,"=6",$AE$2:$AE$325,"=4",$AF$2:$AF$325,"=2")</f>
        <v>0</v>
      </c>
      <c r="AV21" s="11">
        <f t="shared" si="1"/>
        <v>9570</v>
      </c>
    </row>
    <row r="22" spans="2:48" x14ac:dyDescent="0.25">
      <c r="B22" t="s">
        <v>117</v>
      </c>
      <c r="C22">
        <v>1</v>
      </c>
      <c r="J22">
        <v>1</v>
      </c>
      <c r="K22">
        <v>2</v>
      </c>
      <c r="L22">
        <v>1</v>
      </c>
      <c r="M22">
        <v>2</v>
      </c>
      <c r="N22">
        <v>2380</v>
      </c>
      <c r="AE22">
        <v>1</v>
      </c>
      <c r="AF22">
        <v>1</v>
      </c>
      <c r="AG22">
        <v>3</v>
      </c>
      <c r="AH22">
        <v>10</v>
      </c>
      <c r="AI22">
        <v>300</v>
      </c>
      <c r="AK22" s="44" t="s">
        <v>33</v>
      </c>
      <c r="AL22" s="4">
        <f>COUNTIFS($AG$2:$AG$325,"=7",$AE$2:$AE$325,"=1",$AF$2:$AF$325,"=2")</f>
        <v>9</v>
      </c>
      <c r="AM22" s="4">
        <f>COUNTIFS($AG$2:$AG$325,"=7",$AE$2:$AE$325,"=2",$AF$2:$AF$325,"=2")</f>
        <v>9</v>
      </c>
      <c r="AN22" s="4">
        <f>COUNTIFS($AG$2:$AG$325,"=7",$AE$2:$AE$325,"=3",$AF$2:$AF$325,"=2")</f>
        <v>7</v>
      </c>
      <c r="AO22" s="4">
        <f>COUNTIFS($AG$2:$AG$325,"=7",$AE$2:$AE$325,"=4",$AF$2:$AF$325,"=2")</f>
        <v>11</v>
      </c>
      <c r="AQ22" s="44" t="s">
        <v>33</v>
      </c>
      <c r="AR22" s="4">
        <f>SUMIFS($AI$2:$AI$325,$AG$2:$AG$325,"=7",$AE$2:$AE$325,"=1",$AF$2:$AF$325,"=2")</f>
        <v>3510</v>
      </c>
      <c r="AS22" s="4">
        <f>SUMIFS($AI$2:$AI$325,$AG$2:$AG$325,"=7",$AE$2:$AE$325,"=2",$AF$2:$AF$325,"=2")</f>
        <v>4020</v>
      </c>
      <c r="AT22" s="4">
        <f>SUMIFS($AI$2:$AI$325,$AG$2:$AG$325,"=7",$AE$2:$AE$325,"=3",$AF$2:$AF$325,"=2")</f>
        <v>7280</v>
      </c>
      <c r="AU22" s="4">
        <f>SUMIFS($AI$2:$AI$325,$AG$2:$AG$325,"=7",$AE$2:$AE$325,"=4",$AF$2:$AF$325,"=2")</f>
        <v>3990</v>
      </c>
      <c r="AV22" s="11">
        <f t="shared" si="1"/>
        <v>18800</v>
      </c>
    </row>
    <row r="23" spans="2:48" ht="15.75" customHeight="1" thickBot="1" x14ac:dyDescent="0.3">
      <c r="B23" t="s">
        <v>118</v>
      </c>
      <c r="C23">
        <v>1</v>
      </c>
      <c r="J23">
        <v>1</v>
      </c>
      <c r="K23">
        <v>2</v>
      </c>
      <c r="L23">
        <v>1</v>
      </c>
      <c r="M23">
        <v>3</v>
      </c>
      <c r="N23">
        <v>2580</v>
      </c>
      <c r="AE23">
        <v>1</v>
      </c>
      <c r="AF23">
        <v>1</v>
      </c>
      <c r="AG23">
        <v>3</v>
      </c>
      <c r="AH23">
        <v>11</v>
      </c>
      <c r="AI23">
        <v>370</v>
      </c>
      <c r="AK23" s="44" t="s">
        <v>34</v>
      </c>
      <c r="AL23" s="4">
        <f>COUNTIFS($AG$2:$AG$325,"=8",$AE$2:$AE$325,"=1",$AF$2:$AF$325,"=2")</f>
        <v>0</v>
      </c>
      <c r="AM23" s="4">
        <f>COUNTIFS($AG$2:$AG$325,"=8",$AE$2:$AE$325,"=2",$AF$2:$AF$325,"=2")</f>
        <v>0</v>
      </c>
      <c r="AN23" s="4">
        <f>COUNTIFS($AG$2:$AG$325,"=8",$AE$2:$AE$325,"=3",$AF$2:$AF$325,"=2")</f>
        <v>0</v>
      </c>
      <c r="AO23" s="4">
        <f>COUNTIFS($AG$2:$AG$325,"=8",$AE$2:$AE$325,"=4",$AF$2:$AF$325,"=2")</f>
        <v>0</v>
      </c>
      <c r="AQ23" s="8" t="s">
        <v>34</v>
      </c>
      <c r="AR23" s="9">
        <f>SUMIFS($AI$2:$AI$325,$AG$2:$AG$325,"=8",$AE$2:$AE$325,"=1",$AF$2:$AF$325,"=2")</f>
        <v>0</v>
      </c>
      <c r="AS23" s="9">
        <f>SUMIFS($AI$2:$AI$325,$AG$2:$AG$325,"=8",$AE$2:$AE$325,"=2",$AF$2:$AF$325,"=2")</f>
        <v>0</v>
      </c>
      <c r="AT23" s="9">
        <f>SUMIFS($AI$2:$AI$325,$AG$2:$AG$325,"=8",$AE$2:$AE$325,"=3",$AF$2:$AF$325,"=2")</f>
        <v>0</v>
      </c>
      <c r="AU23" s="9">
        <f>SUMIFS($AI$2:$AI$325,$AG$2:$AG$325,"=8",$AE$2:$AE$325,"=4",$AF$2:$AF$325,"=2")</f>
        <v>0</v>
      </c>
      <c r="AV23" s="11">
        <f t="shared" si="1"/>
        <v>0</v>
      </c>
    </row>
    <row r="24" spans="2:48" ht="15.75" customHeight="1" thickBot="1" x14ac:dyDescent="0.3">
      <c r="B24" t="s">
        <v>119</v>
      </c>
      <c r="C24">
        <v>1</v>
      </c>
      <c r="J24">
        <v>1</v>
      </c>
      <c r="K24">
        <v>2</v>
      </c>
      <c r="L24">
        <v>1</v>
      </c>
      <c r="M24">
        <v>5</v>
      </c>
      <c r="N24">
        <v>600</v>
      </c>
      <c r="AE24">
        <v>1</v>
      </c>
      <c r="AF24">
        <v>1</v>
      </c>
      <c r="AG24">
        <v>3</v>
      </c>
      <c r="AH24">
        <v>12</v>
      </c>
      <c r="AI24">
        <v>300</v>
      </c>
      <c r="AQ24" s="12" t="s">
        <v>93</v>
      </c>
      <c r="AR24" s="16">
        <f>SUM(AR16:AR23)</f>
        <v>19010</v>
      </c>
      <c r="AS24" s="16">
        <f>SUM(AS16:AS23)</f>
        <v>12700</v>
      </c>
      <c r="AT24" s="16">
        <f>SUM(AT16:AT23)</f>
        <v>20640</v>
      </c>
      <c r="AU24" s="16">
        <f>SUM(AU16:AU23)</f>
        <v>13060</v>
      </c>
      <c r="AV24" s="17">
        <f>SUM(AV16:AV23)</f>
        <v>65410</v>
      </c>
    </row>
    <row r="25" spans="2:48" x14ac:dyDescent="0.25">
      <c r="B25" t="s">
        <v>120</v>
      </c>
      <c r="C25">
        <v>1</v>
      </c>
      <c r="J25">
        <v>1</v>
      </c>
      <c r="K25">
        <v>2</v>
      </c>
      <c r="L25">
        <v>1</v>
      </c>
      <c r="M25">
        <v>6</v>
      </c>
      <c r="N25">
        <v>1290</v>
      </c>
      <c r="AE25">
        <v>1</v>
      </c>
      <c r="AF25">
        <v>1</v>
      </c>
      <c r="AG25">
        <v>4</v>
      </c>
      <c r="AH25">
        <v>1</v>
      </c>
      <c r="AI25">
        <v>500</v>
      </c>
    </row>
    <row r="26" spans="2:48" x14ac:dyDescent="0.25">
      <c r="B26" t="s">
        <v>121</v>
      </c>
      <c r="C26">
        <v>1</v>
      </c>
      <c r="J26">
        <v>1</v>
      </c>
      <c r="K26">
        <v>2</v>
      </c>
      <c r="L26">
        <v>1</v>
      </c>
      <c r="M26">
        <v>7</v>
      </c>
      <c r="N26">
        <v>3800</v>
      </c>
      <c r="AE26">
        <v>1</v>
      </c>
      <c r="AF26">
        <v>1</v>
      </c>
      <c r="AG26">
        <v>4</v>
      </c>
      <c r="AH26">
        <v>2</v>
      </c>
      <c r="AI26">
        <v>600</v>
      </c>
    </row>
    <row r="27" spans="2:48" x14ac:dyDescent="0.25">
      <c r="B27" t="s">
        <v>122</v>
      </c>
      <c r="C27">
        <v>1</v>
      </c>
      <c r="J27">
        <v>1</v>
      </c>
      <c r="K27">
        <v>2</v>
      </c>
      <c r="L27">
        <v>1</v>
      </c>
      <c r="M27">
        <v>8</v>
      </c>
      <c r="N27">
        <v>2380</v>
      </c>
      <c r="AE27">
        <v>1</v>
      </c>
      <c r="AF27">
        <v>1</v>
      </c>
      <c r="AG27">
        <v>4</v>
      </c>
      <c r="AH27">
        <v>3</v>
      </c>
      <c r="AI27">
        <v>1000</v>
      </c>
    </row>
    <row r="28" spans="2:48" x14ac:dyDescent="0.25">
      <c r="B28" t="s">
        <v>123</v>
      </c>
      <c r="C28">
        <v>1</v>
      </c>
      <c r="J28">
        <v>1</v>
      </c>
      <c r="K28">
        <v>2</v>
      </c>
      <c r="L28">
        <v>1</v>
      </c>
      <c r="M28">
        <v>9</v>
      </c>
      <c r="N28">
        <v>1860</v>
      </c>
      <c r="AE28">
        <v>1</v>
      </c>
      <c r="AF28">
        <v>1</v>
      </c>
      <c r="AG28">
        <v>4</v>
      </c>
      <c r="AH28">
        <v>4</v>
      </c>
      <c r="AI28">
        <v>500</v>
      </c>
    </row>
    <row r="29" spans="2:48" x14ac:dyDescent="0.25">
      <c r="B29" t="s">
        <v>124</v>
      </c>
      <c r="C29">
        <v>1</v>
      </c>
      <c r="J29">
        <v>1</v>
      </c>
      <c r="K29">
        <v>2</v>
      </c>
      <c r="L29">
        <v>1</v>
      </c>
      <c r="M29">
        <v>11</v>
      </c>
      <c r="N29">
        <v>600</v>
      </c>
      <c r="AE29">
        <v>1</v>
      </c>
      <c r="AF29">
        <v>1</v>
      </c>
      <c r="AG29">
        <v>4</v>
      </c>
      <c r="AH29">
        <v>5</v>
      </c>
      <c r="AI29">
        <v>600</v>
      </c>
    </row>
    <row r="30" spans="2:48" x14ac:dyDescent="0.25">
      <c r="B30" t="s">
        <v>125</v>
      </c>
      <c r="C30">
        <v>1</v>
      </c>
      <c r="J30">
        <v>1</v>
      </c>
      <c r="K30">
        <v>2</v>
      </c>
      <c r="L30">
        <v>1</v>
      </c>
      <c r="M30">
        <v>12</v>
      </c>
      <c r="N30">
        <v>1290</v>
      </c>
      <c r="AE30">
        <v>1</v>
      </c>
      <c r="AF30">
        <v>1</v>
      </c>
      <c r="AG30">
        <v>4</v>
      </c>
      <c r="AH30">
        <v>7</v>
      </c>
      <c r="AI30">
        <v>500</v>
      </c>
    </row>
    <row r="31" spans="2:48" x14ac:dyDescent="0.25">
      <c r="B31" t="s">
        <v>126</v>
      </c>
      <c r="C31">
        <v>1</v>
      </c>
      <c r="J31">
        <v>1</v>
      </c>
      <c r="K31">
        <v>2</v>
      </c>
      <c r="L31">
        <v>2</v>
      </c>
      <c r="M31">
        <v>2</v>
      </c>
      <c r="N31">
        <v>1620</v>
      </c>
      <c r="AE31">
        <v>1</v>
      </c>
      <c r="AF31">
        <v>1</v>
      </c>
      <c r="AG31">
        <v>4</v>
      </c>
      <c r="AH31">
        <v>8</v>
      </c>
      <c r="AI31">
        <v>600</v>
      </c>
    </row>
    <row r="32" spans="2:48" x14ac:dyDescent="0.25">
      <c r="B32" t="s">
        <v>127</v>
      </c>
      <c r="C32">
        <v>1</v>
      </c>
      <c r="J32">
        <v>1</v>
      </c>
      <c r="K32">
        <v>2</v>
      </c>
      <c r="L32">
        <v>2</v>
      </c>
      <c r="M32">
        <v>3</v>
      </c>
      <c r="N32">
        <v>1420</v>
      </c>
      <c r="AE32">
        <v>1</v>
      </c>
      <c r="AF32">
        <v>1</v>
      </c>
      <c r="AG32">
        <v>4</v>
      </c>
      <c r="AH32">
        <v>9</v>
      </c>
      <c r="AI32">
        <v>1000</v>
      </c>
    </row>
    <row r="33" spans="2:35" x14ac:dyDescent="0.25">
      <c r="B33" t="s">
        <v>128</v>
      </c>
      <c r="C33">
        <v>1</v>
      </c>
      <c r="J33">
        <v>1</v>
      </c>
      <c r="K33">
        <v>2</v>
      </c>
      <c r="L33">
        <v>2</v>
      </c>
      <c r="M33">
        <v>5</v>
      </c>
      <c r="N33">
        <v>600</v>
      </c>
      <c r="AE33">
        <v>1</v>
      </c>
      <c r="AF33">
        <v>1</v>
      </c>
      <c r="AG33">
        <v>4</v>
      </c>
      <c r="AH33">
        <v>10</v>
      </c>
      <c r="AI33">
        <v>250</v>
      </c>
    </row>
    <row r="34" spans="2:35" x14ac:dyDescent="0.25">
      <c r="B34" t="s">
        <v>129</v>
      </c>
      <c r="C34">
        <v>1</v>
      </c>
      <c r="J34">
        <v>1</v>
      </c>
      <c r="K34">
        <v>2</v>
      </c>
      <c r="L34">
        <v>2</v>
      </c>
      <c r="M34">
        <v>6</v>
      </c>
      <c r="N34">
        <v>1070</v>
      </c>
      <c r="AE34">
        <v>1</v>
      </c>
      <c r="AF34">
        <v>1</v>
      </c>
      <c r="AG34">
        <v>4</v>
      </c>
      <c r="AH34">
        <v>11</v>
      </c>
      <c r="AI34">
        <v>300</v>
      </c>
    </row>
    <row r="35" spans="2:35" x14ac:dyDescent="0.25">
      <c r="B35" t="s">
        <v>130</v>
      </c>
      <c r="C35">
        <v>1</v>
      </c>
      <c r="J35">
        <v>1</v>
      </c>
      <c r="K35">
        <v>2</v>
      </c>
      <c r="L35">
        <v>2</v>
      </c>
      <c r="M35">
        <v>7</v>
      </c>
      <c r="N35">
        <v>200</v>
      </c>
      <c r="AE35">
        <v>1</v>
      </c>
      <c r="AF35">
        <v>1</v>
      </c>
      <c r="AG35">
        <v>4</v>
      </c>
      <c r="AH35">
        <v>12</v>
      </c>
      <c r="AI35">
        <v>1000</v>
      </c>
    </row>
    <row r="36" spans="2:35" x14ac:dyDescent="0.25">
      <c r="B36" t="s">
        <v>131</v>
      </c>
      <c r="C36">
        <v>1</v>
      </c>
      <c r="J36">
        <v>1</v>
      </c>
      <c r="K36">
        <v>2</v>
      </c>
      <c r="L36">
        <v>2</v>
      </c>
      <c r="M36">
        <v>8</v>
      </c>
      <c r="N36">
        <v>1620</v>
      </c>
      <c r="AE36">
        <v>1</v>
      </c>
      <c r="AF36">
        <v>1</v>
      </c>
      <c r="AG36">
        <v>5</v>
      </c>
      <c r="AH36">
        <v>1</v>
      </c>
      <c r="AI36">
        <v>600</v>
      </c>
    </row>
    <row r="37" spans="2:35" x14ac:dyDescent="0.25">
      <c r="B37" t="s">
        <v>132</v>
      </c>
      <c r="C37">
        <v>1</v>
      </c>
      <c r="J37">
        <v>1</v>
      </c>
      <c r="K37">
        <v>2</v>
      </c>
      <c r="L37">
        <v>2</v>
      </c>
      <c r="M37">
        <v>9</v>
      </c>
      <c r="N37">
        <v>2140</v>
      </c>
      <c r="AE37">
        <v>1</v>
      </c>
      <c r="AF37">
        <v>1</v>
      </c>
      <c r="AG37">
        <v>6</v>
      </c>
      <c r="AH37">
        <v>1</v>
      </c>
      <c r="AI37">
        <v>800</v>
      </c>
    </row>
    <row r="38" spans="2:35" x14ac:dyDescent="0.25">
      <c r="B38" t="s">
        <v>133</v>
      </c>
      <c r="C38">
        <v>1</v>
      </c>
      <c r="J38">
        <v>1</v>
      </c>
      <c r="K38">
        <v>2</v>
      </c>
      <c r="L38">
        <v>2</v>
      </c>
      <c r="M38">
        <v>11</v>
      </c>
      <c r="N38">
        <v>600</v>
      </c>
      <c r="AE38">
        <v>1</v>
      </c>
      <c r="AF38">
        <v>1</v>
      </c>
      <c r="AG38">
        <v>7</v>
      </c>
      <c r="AH38">
        <v>1</v>
      </c>
      <c r="AI38">
        <v>600</v>
      </c>
    </row>
    <row r="39" spans="2:35" x14ac:dyDescent="0.25">
      <c r="B39" t="s">
        <v>134</v>
      </c>
      <c r="C39">
        <v>1</v>
      </c>
      <c r="J39">
        <v>1</v>
      </c>
      <c r="K39">
        <v>2</v>
      </c>
      <c r="L39">
        <v>2</v>
      </c>
      <c r="M39">
        <v>12</v>
      </c>
      <c r="N39">
        <v>1070</v>
      </c>
      <c r="AE39">
        <v>1</v>
      </c>
      <c r="AF39">
        <v>1</v>
      </c>
      <c r="AG39">
        <v>8</v>
      </c>
      <c r="AH39">
        <v>1</v>
      </c>
      <c r="AI39">
        <v>2000</v>
      </c>
    </row>
    <row r="40" spans="2:35" x14ac:dyDescent="0.25">
      <c r="B40" t="s">
        <v>135</v>
      </c>
      <c r="C40">
        <v>1</v>
      </c>
      <c r="J40">
        <v>1</v>
      </c>
      <c r="K40">
        <v>3</v>
      </c>
      <c r="L40">
        <v>1</v>
      </c>
      <c r="M40">
        <v>2</v>
      </c>
      <c r="N40">
        <v>2500</v>
      </c>
      <c r="AE40">
        <v>1</v>
      </c>
      <c r="AF40">
        <v>1</v>
      </c>
      <c r="AG40">
        <v>8</v>
      </c>
      <c r="AH40">
        <v>2</v>
      </c>
      <c r="AI40">
        <v>250</v>
      </c>
    </row>
    <row r="41" spans="2:35" x14ac:dyDescent="0.25">
      <c r="B41" t="s">
        <v>136</v>
      </c>
      <c r="C41">
        <v>1</v>
      </c>
      <c r="J41">
        <v>1</v>
      </c>
      <c r="K41">
        <v>3</v>
      </c>
      <c r="L41">
        <v>1</v>
      </c>
      <c r="M41">
        <v>3</v>
      </c>
      <c r="N41">
        <v>1170</v>
      </c>
      <c r="AE41">
        <v>1</v>
      </c>
      <c r="AF41">
        <v>1</v>
      </c>
      <c r="AG41">
        <v>8</v>
      </c>
      <c r="AH41">
        <v>3</v>
      </c>
      <c r="AI41">
        <v>300</v>
      </c>
    </row>
    <row r="42" spans="2:35" x14ac:dyDescent="0.25">
      <c r="B42" t="s">
        <v>137</v>
      </c>
      <c r="C42">
        <v>1</v>
      </c>
      <c r="J42">
        <v>1</v>
      </c>
      <c r="K42">
        <v>3</v>
      </c>
      <c r="L42">
        <v>1</v>
      </c>
      <c r="M42">
        <v>4</v>
      </c>
      <c r="N42">
        <v>3000</v>
      </c>
      <c r="AE42">
        <v>1</v>
      </c>
      <c r="AF42">
        <v>1</v>
      </c>
      <c r="AG42">
        <v>8</v>
      </c>
      <c r="AH42">
        <v>4</v>
      </c>
      <c r="AI42">
        <v>2000</v>
      </c>
    </row>
    <row r="43" spans="2:35" x14ac:dyDescent="0.25">
      <c r="B43" t="s">
        <v>138</v>
      </c>
      <c r="C43">
        <v>1</v>
      </c>
      <c r="J43">
        <v>1</v>
      </c>
      <c r="K43">
        <v>3</v>
      </c>
      <c r="L43">
        <v>1</v>
      </c>
      <c r="M43">
        <v>5</v>
      </c>
      <c r="N43">
        <v>2540</v>
      </c>
      <c r="AE43">
        <v>1</v>
      </c>
      <c r="AF43">
        <v>1</v>
      </c>
      <c r="AG43">
        <v>8</v>
      </c>
      <c r="AH43">
        <v>7</v>
      </c>
      <c r="AI43">
        <v>2000</v>
      </c>
    </row>
    <row r="44" spans="2:35" x14ac:dyDescent="0.25">
      <c r="B44" t="s">
        <v>139</v>
      </c>
      <c r="C44">
        <v>1</v>
      </c>
      <c r="J44">
        <v>1</v>
      </c>
      <c r="K44">
        <v>3</v>
      </c>
      <c r="L44">
        <v>1</v>
      </c>
      <c r="M44">
        <v>7</v>
      </c>
      <c r="N44">
        <v>2250</v>
      </c>
      <c r="AE44">
        <v>1</v>
      </c>
      <c r="AF44">
        <v>1</v>
      </c>
      <c r="AG44">
        <v>8</v>
      </c>
      <c r="AH44">
        <v>8</v>
      </c>
      <c r="AI44">
        <v>250</v>
      </c>
    </row>
    <row r="45" spans="2:35" x14ac:dyDescent="0.25">
      <c r="B45" t="s">
        <v>140</v>
      </c>
      <c r="C45">
        <v>1</v>
      </c>
      <c r="J45">
        <v>1</v>
      </c>
      <c r="K45">
        <v>3</v>
      </c>
      <c r="L45">
        <v>1</v>
      </c>
      <c r="M45">
        <v>8</v>
      </c>
      <c r="N45">
        <v>2405</v>
      </c>
      <c r="AE45">
        <v>1</v>
      </c>
      <c r="AF45">
        <v>1</v>
      </c>
      <c r="AG45">
        <v>8</v>
      </c>
      <c r="AH45">
        <v>9</v>
      </c>
      <c r="AI45">
        <v>300</v>
      </c>
    </row>
    <row r="46" spans="2:35" x14ac:dyDescent="0.25">
      <c r="B46" t="s">
        <v>141</v>
      </c>
      <c r="C46">
        <v>1</v>
      </c>
      <c r="J46">
        <v>1</v>
      </c>
      <c r="K46">
        <v>3</v>
      </c>
      <c r="L46">
        <v>1</v>
      </c>
      <c r="M46">
        <v>9</v>
      </c>
      <c r="N46">
        <v>1600</v>
      </c>
      <c r="AE46">
        <v>1</v>
      </c>
      <c r="AF46">
        <v>1</v>
      </c>
      <c r="AG46">
        <v>8</v>
      </c>
      <c r="AH46">
        <v>10</v>
      </c>
      <c r="AI46">
        <v>1000</v>
      </c>
    </row>
    <row r="47" spans="2:35" x14ac:dyDescent="0.25">
      <c r="B47" t="s">
        <v>142</v>
      </c>
      <c r="C47">
        <v>1</v>
      </c>
      <c r="J47">
        <v>1</v>
      </c>
      <c r="K47">
        <v>3</v>
      </c>
      <c r="L47">
        <v>1</v>
      </c>
      <c r="M47">
        <v>10</v>
      </c>
      <c r="N47">
        <v>2250</v>
      </c>
      <c r="AE47">
        <v>1</v>
      </c>
      <c r="AF47">
        <v>1</v>
      </c>
      <c r="AG47">
        <v>8</v>
      </c>
      <c r="AH47">
        <v>11</v>
      </c>
      <c r="AI47">
        <v>250</v>
      </c>
    </row>
    <row r="48" spans="2:35" x14ac:dyDescent="0.25">
      <c r="B48" t="s">
        <v>143</v>
      </c>
      <c r="C48">
        <v>1</v>
      </c>
      <c r="J48">
        <v>1</v>
      </c>
      <c r="K48">
        <v>3</v>
      </c>
      <c r="L48">
        <v>1</v>
      </c>
      <c r="M48">
        <v>11</v>
      </c>
      <c r="N48">
        <v>1905</v>
      </c>
      <c r="AE48">
        <v>1</v>
      </c>
      <c r="AF48">
        <v>1</v>
      </c>
      <c r="AG48">
        <v>8</v>
      </c>
      <c r="AH48">
        <v>12</v>
      </c>
      <c r="AI48">
        <v>300</v>
      </c>
    </row>
    <row r="49" spans="2:35" x14ac:dyDescent="0.25">
      <c r="B49" t="s">
        <v>144</v>
      </c>
      <c r="C49">
        <v>1</v>
      </c>
      <c r="J49">
        <v>1</v>
      </c>
      <c r="K49">
        <v>3</v>
      </c>
      <c r="L49">
        <v>2</v>
      </c>
      <c r="M49">
        <v>2</v>
      </c>
      <c r="N49">
        <v>3500</v>
      </c>
      <c r="AE49">
        <v>1</v>
      </c>
      <c r="AF49">
        <v>2</v>
      </c>
      <c r="AG49">
        <v>2</v>
      </c>
      <c r="AH49">
        <v>2</v>
      </c>
      <c r="AI49">
        <v>980</v>
      </c>
    </row>
    <row r="50" spans="2:35" x14ac:dyDescent="0.25">
      <c r="B50" t="s">
        <v>145</v>
      </c>
      <c r="C50">
        <v>1</v>
      </c>
      <c r="J50">
        <v>1</v>
      </c>
      <c r="K50">
        <v>3</v>
      </c>
      <c r="L50">
        <v>2</v>
      </c>
      <c r="M50">
        <v>3</v>
      </c>
      <c r="N50">
        <v>4830</v>
      </c>
      <c r="AE50">
        <v>1</v>
      </c>
      <c r="AF50">
        <v>2</v>
      </c>
      <c r="AG50">
        <v>2</v>
      </c>
      <c r="AH50">
        <v>3</v>
      </c>
      <c r="AI50">
        <v>400</v>
      </c>
    </row>
    <row r="51" spans="2:35" x14ac:dyDescent="0.25">
      <c r="B51" t="s">
        <v>146</v>
      </c>
      <c r="C51">
        <v>1</v>
      </c>
      <c r="J51">
        <v>1</v>
      </c>
      <c r="K51">
        <v>3</v>
      </c>
      <c r="L51">
        <v>2</v>
      </c>
      <c r="M51">
        <v>4</v>
      </c>
      <c r="N51">
        <v>2880</v>
      </c>
      <c r="AE51">
        <v>1</v>
      </c>
      <c r="AF51">
        <v>2</v>
      </c>
      <c r="AG51">
        <v>2</v>
      </c>
      <c r="AH51">
        <v>4</v>
      </c>
      <c r="AI51">
        <v>800</v>
      </c>
    </row>
    <row r="52" spans="2:35" x14ac:dyDescent="0.25">
      <c r="B52" t="s">
        <v>147</v>
      </c>
      <c r="C52">
        <v>1</v>
      </c>
      <c r="J52">
        <v>1</v>
      </c>
      <c r="K52">
        <v>3</v>
      </c>
      <c r="L52">
        <v>2</v>
      </c>
      <c r="M52">
        <v>5</v>
      </c>
      <c r="N52">
        <v>1000</v>
      </c>
      <c r="AE52">
        <v>1</v>
      </c>
      <c r="AF52">
        <v>2</v>
      </c>
      <c r="AG52">
        <v>2</v>
      </c>
      <c r="AH52">
        <v>5</v>
      </c>
      <c r="AI52">
        <v>980</v>
      </c>
    </row>
    <row r="53" spans="2:35" x14ac:dyDescent="0.25">
      <c r="B53" t="s">
        <v>148</v>
      </c>
      <c r="C53">
        <v>1</v>
      </c>
      <c r="J53">
        <v>1</v>
      </c>
      <c r="K53">
        <v>3</v>
      </c>
      <c r="L53">
        <v>2</v>
      </c>
      <c r="M53">
        <v>7</v>
      </c>
      <c r="N53">
        <v>2160</v>
      </c>
      <c r="AE53">
        <v>1</v>
      </c>
      <c r="AF53">
        <v>2</v>
      </c>
      <c r="AG53">
        <v>2</v>
      </c>
      <c r="AH53">
        <v>7</v>
      </c>
      <c r="AI53">
        <v>800</v>
      </c>
    </row>
    <row r="54" spans="2:35" x14ac:dyDescent="0.25">
      <c r="B54" t="s">
        <v>149</v>
      </c>
      <c r="C54">
        <v>1</v>
      </c>
      <c r="J54">
        <v>1</v>
      </c>
      <c r="K54">
        <v>3</v>
      </c>
      <c r="L54">
        <v>2</v>
      </c>
      <c r="M54">
        <v>8</v>
      </c>
      <c r="N54">
        <v>1750</v>
      </c>
      <c r="AE54">
        <v>1</v>
      </c>
      <c r="AF54">
        <v>2</v>
      </c>
      <c r="AG54">
        <v>2</v>
      </c>
      <c r="AH54">
        <v>8</v>
      </c>
      <c r="AI54">
        <v>980</v>
      </c>
    </row>
    <row r="55" spans="2:35" x14ac:dyDescent="0.25">
      <c r="B55" t="s">
        <v>150</v>
      </c>
      <c r="C55">
        <v>1</v>
      </c>
      <c r="J55">
        <v>1</v>
      </c>
      <c r="K55">
        <v>3</v>
      </c>
      <c r="L55">
        <v>2</v>
      </c>
      <c r="M55">
        <v>9</v>
      </c>
      <c r="N55">
        <v>1610</v>
      </c>
      <c r="AE55">
        <v>1</v>
      </c>
      <c r="AF55">
        <v>2</v>
      </c>
      <c r="AG55">
        <v>2</v>
      </c>
      <c r="AH55">
        <v>9</v>
      </c>
      <c r="AI55">
        <v>400</v>
      </c>
    </row>
    <row r="56" spans="2:35" x14ac:dyDescent="0.25">
      <c r="B56" t="s">
        <v>151</v>
      </c>
      <c r="C56">
        <v>1</v>
      </c>
      <c r="J56">
        <v>1</v>
      </c>
      <c r="K56">
        <v>3</v>
      </c>
      <c r="L56">
        <v>2</v>
      </c>
      <c r="M56">
        <v>10</v>
      </c>
      <c r="N56">
        <v>2160</v>
      </c>
      <c r="AE56">
        <v>1</v>
      </c>
      <c r="AF56">
        <v>2</v>
      </c>
      <c r="AG56">
        <v>2</v>
      </c>
      <c r="AH56">
        <v>10</v>
      </c>
      <c r="AI56">
        <v>400</v>
      </c>
    </row>
    <row r="57" spans="2:35" x14ac:dyDescent="0.25">
      <c r="B57" t="s">
        <v>152</v>
      </c>
      <c r="C57">
        <v>1</v>
      </c>
      <c r="J57">
        <v>1</v>
      </c>
      <c r="K57">
        <v>3</v>
      </c>
      <c r="L57">
        <v>2</v>
      </c>
      <c r="M57">
        <v>11</v>
      </c>
      <c r="N57">
        <v>750</v>
      </c>
      <c r="AE57">
        <v>1</v>
      </c>
      <c r="AF57">
        <v>2</v>
      </c>
      <c r="AG57">
        <v>2</v>
      </c>
      <c r="AH57">
        <v>11</v>
      </c>
      <c r="AI57">
        <v>490</v>
      </c>
    </row>
    <row r="58" spans="2:35" x14ac:dyDescent="0.25">
      <c r="B58" t="s">
        <v>153</v>
      </c>
      <c r="C58">
        <v>1</v>
      </c>
      <c r="J58">
        <v>1</v>
      </c>
      <c r="K58">
        <v>4</v>
      </c>
      <c r="L58">
        <v>1</v>
      </c>
      <c r="M58">
        <v>2</v>
      </c>
      <c r="N58">
        <v>490</v>
      </c>
      <c r="AE58">
        <v>1</v>
      </c>
      <c r="AF58">
        <v>2</v>
      </c>
      <c r="AG58">
        <v>2</v>
      </c>
      <c r="AH58">
        <v>12</v>
      </c>
      <c r="AI58">
        <v>400</v>
      </c>
    </row>
    <row r="59" spans="2:35" x14ac:dyDescent="0.25">
      <c r="B59" t="s">
        <v>154</v>
      </c>
      <c r="C59">
        <v>1</v>
      </c>
      <c r="J59">
        <v>1</v>
      </c>
      <c r="K59">
        <v>4</v>
      </c>
      <c r="L59">
        <v>1</v>
      </c>
      <c r="M59">
        <v>3</v>
      </c>
      <c r="N59">
        <v>2000</v>
      </c>
      <c r="AE59">
        <v>1</v>
      </c>
      <c r="AF59">
        <v>2</v>
      </c>
      <c r="AG59">
        <v>5</v>
      </c>
      <c r="AH59">
        <v>2</v>
      </c>
      <c r="AI59">
        <v>700</v>
      </c>
    </row>
    <row r="60" spans="2:35" x14ac:dyDescent="0.25">
      <c r="B60" t="s">
        <v>155</v>
      </c>
      <c r="C60">
        <v>1</v>
      </c>
      <c r="J60">
        <v>1</v>
      </c>
      <c r="K60">
        <v>4</v>
      </c>
      <c r="L60">
        <v>1</v>
      </c>
      <c r="M60">
        <v>4</v>
      </c>
      <c r="N60">
        <v>960</v>
      </c>
      <c r="AE60">
        <v>1</v>
      </c>
      <c r="AF60">
        <v>2</v>
      </c>
      <c r="AG60">
        <v>5</v>
      </c>
      <c r="AH60">
        <v>3</v>
      </c>
      <c r="AI60">
        <v>200</v>
      </c>
    </row>
    <row r="61" spans="2:35" x14ac:dyDescent="0.25">
      <c r="B61" t="s">
        <v>156</v>
      </c>
      <c r="C61">
        <v>1</v>
      </c>
      <c r="J61">
        <v>1</v>
      </c>
      <c r="K61">
        <v>4</v>
      </c>
      <c r="L61">
        <v>1</v>
      </c>
      <c r="M61">
        <v>5</v>
      </c>
      <c r="N61">
        <v>1090</v>
      </c>
      <c r="AE61">
        <v>1</v>
      </c>
      <c r="AF61">
        <v>2</v>
      </c>
      <c r="AG61">
        <v>5</v>
      </c>
      <c r="AH61">
        <v>4</v>
      </c>
      <c r="AI61">
        <v>600</v>
      </c>
    </row>
    <row r="62" spans="2:35" x14ac:dyDescent="0.25">
      <c r="B62" t="s">
        <v>157</v>
      </c>
      <c r="C62">
        <v>1</v>
      </c>
      <c r="J62">
        <v>1</v>
      </c>
      <c r="K62">
        <v>4</v>
      </c>
      <c r="L62">
        <v>1</v>
      </c>
      <c r="M62">
        <v>6</v>
      </c>
      <c r="N62">
        <v>1150</v>
      </c>
      <c r="AE62">
        <v>1</v>
      </c>
      <c r="AF62">
        <v>2</v>
      </c>
      <c r="AG62">
        <v>5</v>
      </c>
      <c r="AH62">
        <v>7</v>
      </c>
      <c r="AI62">
        <v>600</v>
      </c>
    </row>
    <row r="63" spans="2:35" x14ac:dyDescent="0.25">
      <c r="B63" t="s">
        <v>158</v>
      </c>
      <c r="C63">
        <v>1</v>
      </c>
      <c r="J63">
        <v>1</v>
      </c>
      <c r="K63">
        <v>4</v>
      </c>
      <c r="L63">
        <v>1</v>
      </c>
      <c r="M63">
        <v>7</v>
      </c>
      <c r="N63">
        <v>960</v>
      </c>
      <c r="AE63">
        <v>1</v>
      </c>
      <c r="AF63">
        <v>2</v>
      </c>
      <c r="AG63">
        <v>5</v>
      </c>
      <c r="AH63">
        <v>8</v>
      </c>
      <c r="AI63">
        <v>700</v>
      </c>
    </row>
    <row r="64" spans="2:35" x14ac:dyDescent="0.25">
      <c r="B64" t="s">
        <v>159</v>
      </c>
      <c r="C64">
        <v>1</v>
      </c>
      <c r="J64">
        <v>1</v>
      </c>
      <c r="K64">
        <v>4</v>
      </c>
      <c r="L64">
        <v>1</v>
      </c>
      <c r="M64">
        <v>8</v>
      </c>
      <c r="N64">
        <v>1810</v>
      </c>
      <c r="AE64">
        <v>1</v>
      </c>
      <c r="AF64">
        <v>2</v>
      </c>
      <c r="AG64">
        <v>5</v>
      </c>
      <c r="AH64">
        <v>9</v>
      </c>
      <c r="AI64">
        <v>200</v>
      </c>
    </row>
    <row r="65" spans="2:35" x14ac:dyDescent="0.25">
      <c r="B65" t="s">
        <v>160</v>
      </c>
      <c r="C65">
        <v>1</v>
      </c>
      <c r="J65">
        <v>1</v>
      </c>
      <c r="K65">
        <v>4</v>
      </c>
      <c r="L65">
        <v>1</v>
      </c>
      <c r="M65">
        <v>9</v>
      </c>
      <c r="N65">
        <v>300</v>
      </c>
      <c r="AE65">
        <v>1</v>
      </c>
      <c r="AF65">
        <v>2</v>
      </c>
      <c r="AG65">
        <v>5</v>
      </c>
      <c r="AH65">
        <v>10</v>
      </c>
      <c r="AI65">
        <v>300</v>
      </c>
    </row>
    <row r="66" spans="2:35" x14ac:dyDescent="0.25">
      <c r="B66" t="s">
        <v>161</v>
      </c>
      <c r="C66">
        <v>1</v>
      </c>
      <c r="J66">
        <v>1</v>
      </c>
      <c r="K66">
        <v>4</v>
      </c>
      <c r="L66">
        <v>1</v>
      </c>
      <c r="M66">
        <v>10</v>
      </c>
      <c r="N66">
        <v>960</v>
      </c>
      <c r="AE66">
        <v>1</v>
      </c>
      <c r="AF66">
        <v>2</v>
      </c>
      <c r="AG66">
        <v>5</v>
      </c>
      <c r="AH66">
        <v>11</v>
      </c>
      <c r="AI66">
        <v>700</v>
      </c>
    </row>
    <row r="67" spans="2:35" x14ac:dyDescent="0.25">
      <c r="B67" t="s">
        <v>162</v>
      </c>
      <c r="C67">
        <v>1</v>
      </c>
      <c r="J67">
        <v>1</v>
      </c>
      <c r="K67">
        <v>4</v>
      </c>
      <c r="L67">
        <v>1</v>
      </c>
      <c r="M67">
        <v>11</v>
      </c>
      <c r="N67">
        <v>1090</v>
      </c>
      <c r="AE67">
        <v>1</v>
      </c>
      <c r="AF67">
        <v>2</v>
      </c>
      <c r="AG67">
        <v>5</v>
      </c>
      <c r="AH67">
        <v>12</v>
      </c>
      <c r="AI67">
        <v>200</v>
      </c>
    </row>
    <row r="68" spans="2:35" x14ac:dyDescent="0.25">
      <c r="B68" t="s">
        <v>163</v>
      </c>
      <c r="C68">
        <v>1</v>
      </c>
      <c r="J68">
        <v>1</v>
      </c>
      <c r="K68">
        <v>4</v>
      </c>
      <c r="L68">
        <v>1</v>
      </c>
      <c r="M68">
        <v>12</v>
      </c>
      <c r="N68">
        <v>1150</v>
      </c>
      <c r="AE68">
        <v>1</v>
      </c>
      <c r="AF68">
        <v>2</v>
      </c>
      <c r="AG68">
        <v>6</v>
      </c>
      <c r="AH68">
        <v>2</v>
      </c>
      <c r="AI68">
        <v>400</v>
      </c>
    </row>
    <row r="69" spans="2:35" x14ac:dyDescent="0.25">
      <c r="B69" t="s">
        <v>164</v>
      </c>
      <c r="C69">
        <v>1</v>
      </c>
      <c r="J69">
        <v>1</v>
      </c>
      <c r="K69">
        <v>4</v>
      </c>
      <c r="L69">
        <v>2</v>
      </c>
      <c r="M69">
        <v>2</v>
      </c>
      <c r="N69">
        <v>1510</v>
      </c>
      <c r="AE69">
        <v>1</v>
      </c>
      <c r="AF69">
        <v>2</v>
      </c>
      <c r="AG69">
        <v>6</v>
      </c>
      <c r="AH69">
        <v>3</v>
      </c>
      <c r="AI69">
        <v>490</v>
      </c>
    </row>
    <row r="70" spans="2:35" x14ac:dyDescent="0.25">
      <c r="B70" t="s">
        <v>165</v>
      </c>
      <c r="C70">
        <v>1</v>
      </c>
      <c r="J70">
        <v>1</v>
      </c>
      <c r="K70">
        <v>4</v>
      </c>
      <c r="L70">
        <v>2</v>
      </c>
      <c r="M70">
        <v>4</v>
      </c>
      <c r="N70">
        <v>1040</v>
      </c>
      <c r="AE70">
        <v>1</v>
      </c>
      <c r="AF70">
        <v>2</v>
      </c>
      <c r="AG70">
        <v>6</v>
      </c>
      <c r="AH70">
        <v>4</v>
      </c>
      <c r="AI70">
        <v>800</v>
      </c>
    </row>
    <row r="71" spans="2:35" x14ac:dyDescent="0.25">
      <c r="B71" t="s">
        <v>166</v>
      </c>
      <c r="C71">
        <v>1</v>
      </c>
      <c r="J71">
        <v>1</v>
      </c>
      <c r="K71">
        <v>4</v>
      </c>
      <c r="L71">
        <v>2</v>
      </c>
      <c r="M71">
        <v>5</v>
      </c>
      <c r="N71">
        <v>910</v>
      </c>
      <c r="AE71">
        <v>1</v>
      </c>
      <c r="AF71">
        <v>2</v>
      </c>
      <c r="AG71">
        <v>6</v>
      </c>
      <c r="AH71">
        <v>7</v>
      </c>
      <c r="AI71">
        <v>800</v>
      </c>
    </row>
    <row r="72" spans="2:35" x14ac:dyDescent="0.25">
      <c r="B72" t="s">
        <v>167</v>
      </c>
      <c r="C72">
        <v>1</v>
      </c>
      <c r="J72">
        <v>1</v>
      </c>
      <c r="K72">
        <v>4</v>
      </c>
      <c r="L72">
        <v>2</v>
      </c>
      <c r="M72">
        <v>6</v>
      </c>
      <c r="N72">
        <v>850</v>
      </c>
      <c r="AE72">
        <v>1</v>
      </c>
      <c r="AF72">
        <v>2</v>
      </c>
      <c r="AG72">
        <v>6</v>
      </c>
      <c r="AH72">
        <v>8</v>
      </c>
      <c r="AI72">
        <v>400</v>
      </c>
    </row>
    <row r="73" spans="2:35" x14ac:dyDescent="0.25">
      <c r="B73" t="s">
        <v>168</v>
      </c>
      <c r="C73">
        <v>1</v>
      </c>
      <c r="J73">
        <v>1</v>
      </c>
      <c r="K73">
        <v>4</v>
      </c>
      <c r="L73">
        <v>2</v>
      </c>
      <c r="M73">
        <v>7</v>
      </c>
      <c r="N73">
        <v>1040</v>
      </c>
      <c r="AE73">
        <v>1</v>
      </c>
      <c r="AF73">
        <v>2</v>
      </c>
      <c r="AG73">
        <v>6</v>
      </c>
      <c r="AH73">
        <v>9</v>
      </c>
      <c r="AI73">
        <v>490</v>
      </c>
    </row>
    <row r="74" spans="2:35" x14ac:dyDescent="0.25">
      <c r="B74" t="s">
        <v>169</v>
      </c>
      <c r="C74">
        <v>1</v>
      </c>
      <c r="J74">
        <v>1</v>
      </c>
      <c r="K74">
        <v>4</v>
      </c>
      <c r="L74">
        <v>2</v>
      </c>
      <c r="M74">
        <v>8</v>
      </c>
      <c r="N74">
        <v>190</v>
      </c>
      <c r="AE74">
        <v>1</v>
      </c>
      <c r="AF74">
        <v>2</v>
      </c>
      <c r="AG74">
        <v>6</v>
      </c>
      <c r="AH74">
        <v>10</v>
      </c>
      <c r="AI74">
        <v>400</v>
      </c>
    </row>
    <row r="75" spans="2:35" x14ac:dyDescent="0.25">
      <c r="B75" t="s">
        <v>170</v>
      </c>
      <c r="C75">
        <v>1</v>
      </c>
      <c r="J75">
        <v>1</v>
      </c>
      <c r="K75">
        <v>4</v>
      </c>
      <c r="L75">
        <v>2</v>
      </c>
      <c r="M75">
        <v>9</v>
      </c>
      <c r="N75">
        <v>1700</v>
      </c>
      <c r="AE75">
        <v>1</v>
      </c>
      <c r="AF75">
        <v>2</v>
      </c>
      <c r="AG75">
        <v>6</v>
      </c>
      <c r="AH75">
        <v>11</v>
      </c>
      <c r="AI75">
        <v>400</v>
      </c>
    </row>
    <row r="76" spans="2:35" x14ac:dyDescent="0.25">
      <c r="B76" t="s">
        <v>171</v>
      </c>
      <c r="C76">
        <v>1</v>
      </c>
      <c r="J76">
        <v>1</v>
      </c>
      <c r="K76">
        <v>4</v>
      </c>
      <c r="L76">
        <v>2</v>
      </c>
      <c r="M76">
        <v>10</v>
      </c>
      <c r="N76">
        <v>1040</v>
      </c>
      <c r="AE76">
        <v>1</v>
      </c>
      <c r="AF76">
        <v>2</v>
      </c>
      <c r="AG76">
        <v>6</v>
      </c>
      <c r="AH76">
        <v>12</v>
      </c>
      <c r="AI76">
        <v>490</v>
      </c>
    </row>
    <row r="77" spans="2:35" x14ac:dyDescent="0.25">
      <c r="B77" t="s">
        <v>172</v>
      </c>
      <c r="C77">
        <v>1</v>
      </c>
      <c r="J77">
        <v>1</v>
      </c>
      <c r="K77">
        <v>4</v>
      </c>
      <c r="L77">
        <v>2</v>
      </c>
      <c r="M77">
        <v>11</v>
      </c>
      <c r="N77">
        <v>910</v>
      </c>
      <c r="AE77">
        <v>1</v>
      </c>
      <c r="AF77">
        <v>2</v>
      </c>
      <c r="AG77">
        <v>7</v>
      </c>
      <c r="AH77">
        <v>2</v>
      </c>
      <c r="AI77">
        <v>300</v>
      </c>
    </row>
    <row r="78" spans="2:35" x14ac:dyDescent="0.25">
      <c r="B78" t="s">
        <v>173</v>
      </c>
      <c r="C78">
        <v>1</v>
      </c>
      <c r="J78">
        <v>1</v>
      </c>
      <c r="K78">
        <v>4</v>
      </c>
      <c r="L78">
        <v>2</v>
      </c>
      <c r="M78">
        <v>12</v>
      </c>
      <c r="N78">
        <v>850</v>
      </c>
      <c r="AE78">
        <v>1</v>
      </c>
      <c r="AF78">
        <v>2</v>
      </c>
      <c r="AG78">
        <v>7</v>
      </c>
      <c r="AH78">
        <v>3</v>
      </c>
      <c r="AI78">
        <v>370</v>
      </c>
    </row>
    <row r="79" spans="2:35" x14ac:dyDescent="0.25">
      <c r="B79" t="s">
        <v>174</v>
      </c>
      <c r="C79">
        <v>1</v>
      </c>
      <c r="J79">
        <v>2</v>
      </c>
      <c r="K79">
        <v>1</v>
      </c>
      <c r="L79">
        <v>1</v>
      </c>
      <c r="M79">
        <v>2</v>
      </c>
      <c r="N79">
        <v>370</v>
      </c>
      <c r="AE79">
        <v>1</v>
      </c>
      <c r="AF79">
        <v>2</v>
      </c>
      <c r="AG79">
        <v>7</v>
      </c>
      <c r="AH79">
        <v>4</v>
      </c>
      <c r="AI79">
        <v>600</v>
      </c>
    </row>
    <row r="80" spans="2:35" x14ac:dyDescent="0.25">
      <c r="B80" t="s">
        <v>175</v>
      </c>
      <c r="C80">
        <v>1</v>
      </c>
      <c r="J80">
        <v>2</v>
      </c>
      <c r="K80">
        <v>1</v>
      </c>
      <c r="L80">
        <v>1</v>
      </c>
      <c r="M80">
        <v>4</v>
      </c>
      <c r="N80">
        <v>3300</v>
      </c>
      <c r="AE80">
        <v>1</v>
      </c>
      <c r="AF80">
        <v>2</v>
      </c>
      <c r="AG80">
        <v>7</v>
      </c>
      <c r="AH80">
        <v>7</v>
      </c>
      <c r="AI80">
        <v>600</v>
      </c>
    </row>
    <row r="81" spans="2:35" x14ac:dyDescent="0.25">
      <c r="B81" t="s">
        <v>176</v>
      </c>
      <c r="C81">
        <v>1</v>
      </c>
      <c r="J81">
        <v>2</v>
      </c>
      <c r="K81">
        <v>1</v>
      </c>
      <c r="L81">
        <v>1</v>
      </c>
      <c r="M81">
        <v>7</v>
      </c>
      <c r="N81">
        <v>3300</v>
      </c>
      <c r="AE81">
        <v>1</v>
      </c>
      <c r="AF81">
        <v>2</v>
      </c>
      <c r="AG81">
        <v>7</v>
      </c>
      <c r="AH81">
        <v>8</v>
      </c>
      <c r="AI81">
        <v>300</v>
      </c>
    </row>
    <row r="82" spans="2:35" x14ac:dyDescent="0.25">
      <c r="B82" t="s">
        <v>177</v>
      </c>
      <c r="C82">
        <v>1</v>
      </c>
      <c r="J82">
        <v>2</v>
      </c>
      <c r="K82">
        <v>1</v>
      </c>
      <c r="L82">
        <v>2</v>
      </c>
      <c r="M82">
        <v>8</v>
      </c>
      <c r="N82">
        <v>370</v>
      </c>
      <c r="AE82">
        <v>1</v>
      </c>
      <c r="AF82">
        <v>2</v>
      </c>
      <c r="AG82">
        <v>7</v>
      </c>
      <c r="AH82">
        <v>9</v>
      </c>
      <c r="AI82">
        <v>370</v>
      </c>
    </row>
    <row r="83" spans="2:35" x14ac:dyDescent="0.25">
      <c r="B83" t="s">
        <v>178</v>
      </c>
      <c r="C83">
        <v>1</v>
      </c>
      <c r="J83">
        <v>2</v>
      </c>
      <c r="K83">
        <v>2</v>
      </c>
      <c r="L83">
        <v>1</v>
      </c>
      <c r="M83">
        <v>9</v>
      </c>
      <c r="N83">
        <v>720</v>
      </c>
      <c r="AE83">
        <v>1</v>
      </c>
      <c r="AF83">
        <v>2</v>
      </c>
      <c r="AG83">
        <v>7</v>
      </c>
      <c r="AH83">
        <v>10</v>
      </c>
      <c r="AI83">
        <v>300</v>
      </c>
    </row>
    <row r="84" spans="2:35" x14ac:dyDescent="0.25">
      <c r="B84" t="s">
        <v>179</v>
      </c>
      <c r="C84">
        <v>1</v>
      </c>
      <c r="J84">
        <v>2</v>
      </c>
      <c r="K84">
        <v>2</v>
      </c>
      <c r="L84">
        <v>2</v>
      </c>
      <c r="M84">
        <v>2</v>
      </c>
      <c r="N84">
        <v>120</v>
      </c>
      <c r="AE84">
        <v>1</v>
      </c>
      <c r="AF84">
        <v>2</v>
      </c>
      <c r="AG84">
        <v>7</v>
      </c>
      <c r="AH84">
        <v>11</v>
      </c>
      <c r="AI84">
        <v>300</v>
      </c>
    </row>
    <row r="85" spans="2:35" x14ac:dyDescent="0.25">
      <c r="B85" t="s">
        <v>180</v>
      </c>
      <c r="C85">
        <v>1</v>
      </c>
      <c r="J85">
        <v>2</v>
      </c>
      <c r="K85">
        <v>2</v>
      </c>
      <c r="L85">
        <v>2</v>
      </c>
      <c r="M85">
        <v>3</v>
      </c>
      <c r="N85">
        <v>720</v>
      </c>
      <c r="AE85">
        <v>1</v>
      </c>
      <c r="AF85">
        <v>2</v>
      </c>
      <c r="AG85">
        <v>7</v>
      </c>
      <c r="AH85">
        <v>12</v>
      </c>
      <c r="AI85">
        <v>370</v>
      </c>
    </row>
    <row r="86" spans="2:35" x14ac:dyDescent="0.25">
      <c r="B86" t="s">
        <v>181</v>
      </c>
      <c r="C86">
        <v>1</v>
      </c>
      <c r="J86">
        <v>2</v>
      </c>
      <c r="K86">
        <v>2</v>
      </c>
      <c r="L86">
        <v>2</v>
      </c>
      <c r="M86">
        <v>7</v>
      </c>
      <c r="N86">
        <v>1400</v>
      </c>
      <c r="AE86">
        <v>2</v>
      </c>
      <c r="AF86">
        <v>1</v>
      </c>
      <c r="AG86">
        <v>1</v>
      </c>
      <c r="AH86">
        <v>1</v>
      </c>
      <c r="AI86">
        <v>400</v>
      </c>
    </row>
    <row r="87" spans="2:35" x14ac:dyDescent="0.25">
      <c r="B87" t="s">
        <v>182</v>
      </c>
      <c r="C87">
        <v>1</v>
      </c>
      <c r="J87">
        <v>2</v>
      </c>
      <c r="K87">
        <v>2</v>
      </c>
      <c r="L87">
        <v>2</v>
      </c>
      <c r="M87">
        <v>8</v>
      </c>
      <c r="N87">
        <v>120</v>
      </c>
      <c r="AE87">
        <v>2</v>
      </c>
      <c r="AF87">
        <v>1</v>
      </c>
      <c r="AG87">
        <v>1</v>
      </c>
      <c r="AH87">
        <v>2</v>
      </c>
      <c r="AI87">
        <v>400</v>
      </c>
    </row>
    <row r="88" spans="2:35" x14ac:dyDescent="0.25">
      <c r="B88" t="s">
        <v>183</v>
      </c>
      <c r="C88">
        <v>1</v>
      </c>
      <c r="J88">
        <v>2</v>
      </c>
      <c r="K88">
        <v>4</v>
      </c>
      <c r="L88">
        <v>1</v>
      </c>
      <c r="M88">
        <v>2</v>
      </c>
      <c r="N88">
        <v>1320</v>
      </c>
      <c r="AE88">
        <v>2</v>
      </c>
      <c r="AF88">
        <v>1</v>
      </c>
      <c r="AG88">
        <v>1</v>
      </c>
      <c r="AH88">
        <v>3</v>
      </c>
      <c r="AI88">
        <v>400</v>
      </c>
    </row>
    <row r="89" spans="2:35" x14ac:dyDescent="0.25">
      <c r="B89" t="s">
        <v>184</v>
      </c>
      <c r="C89">
        <v>1</v>
      </c>
      <c r="J89">
        <v>2</v>
      </c>
      <c r="K89">
        <v>4</v>
      </c>
      <c r="L89">
        <v>1</v>
      </c>
      <c r="M89">
        <v>3</v>
      </c>
      <c r="N89">
        <v>1280</v>
      </c>
      <c r="AE89">
        <v>2</v>
      </c>
      <c r="AF89">
        <v>1</v>
      </c>
      <c r="AG89">
        <v>1</v>
      </c>
      <c r="AH89">
        <v>6</v>
      </c>
      <c r="AI89">
        <v>200</v>
      </c>
    </row>
    <row r="90" spans="2:35" x14ac:dyDescent="0.25">
      <c r="B90" t="s">
        <v>185</v>
      </c>
      <c r="C90">
        <v>1</v>
      </c>
      <c r="J90">
        <v>2</v>
      </c>
      <c r="K90">
        <v>4</v>
      </c>
      <c r="L90">
        <v>1</v>
      </c>
      <c r="M90">
        <v>4</v>
      </c>
      <c r="N90">
        <v>710</v>
      </c>
      <c r="AE90">
        <v>2</v>
      </c>
      <c r="AF90">
        <v>1</v>
      </c>
      <c r="AG90">
        <v>1</v>
      </c>
      <c r="AH90">
        <v>7</v>
      </c>
      <c r="AI90">
        <v>400</v>
      </c>
    </row>
    <row r="91" spans="2:35" x14ac:dyDescent="0.25">
      <c r="B91" t="s">
        <v>186</v>
      </c>
      <c r="C91">
        <v>1</v>
      </c>
      <c r="J91">
        <v>2</v>
      </c>
      <c r="K91">
        <v>4</v>
      </c>
      <c r="L91">
        <v>1</v>
      </c>
      <c r="M91">
        <v>5</v>
      </c>
      <c r="N91">
        <v>140</v>
      </c>
      <c r="AE91">
        <v>2</v>
      </c>
      <c r="AF91">
        <v>1</v>
      </c>
      <c r="AG91">
        <v>1</v>
      </c>
      <c r="AH91">
        <v>8</v>
      </c>
      <c r="AI91">
        <v>400</v>
      </c>
    </row>
    <row r="92" spans="2:35" x14ac:dyDescent="0.25">
      <c r="B92" t="s">
        <v>187</v>
      </c>
      <c r="C92">
        <v>1</v>
      </c>
      <c r="J92">
        <v>2</v>
      </c>
      <c r="K92">
        <v>4</v>
      </c>
      <c r="L92">
        <v>1</v>
      </c>
      <c r="M92">
        <v>6</v>
      </c>
      <c r="N92">
        <v>490</v>
      </c>
      <c r="AE92">
        <v>2</v>
      </c>
      <c r="AF92">
        <v>1</v>
      </c>
      <c r="AG92">
        <v>1</v>
      </c>
      <c r="AH92">
        <v>9</v>
      </c>
      <c r="AI92">
        <v>400</v>
      </c>
    </row>
    <row r="93" spans="2:35" x14ac:dyDescent="0.25">
      <c r="B93" t="s">
        <v>188</v>
      </c>
      <c r="C93">
        <v>1</v>
      </c>
      <c r="J93">
        <v>2</v>
      </c>
      <c r="K93">
        <v>4</v>
      </c>
      <c r="L93">
        <v>1</v>
      </c>
      <c r="M93">
        <v>7</v>
      </c>
      <c r="N93">
        <v>710</v>
      </c>
      <c r="AE93">
        <v>2</v>
      </c>
      <c r="AF93">
        <v>1</v>
      </c>
      <c r="AG93">
        <v>1</v>
      </c>
      <c r="AH93">
        <v>12</v>
      </c>
      <c r="AI93">
        <v>200</v>
      </c>
    </row>
    <row r="94" spans="2:35" x14ac:dyDescent="0.25">
      <c r="B94" t="s">
        <v>189</v>
      </c>
      <c r="C94">
        <v>1</v>
      </c>
      <c r="J94">
        <v>2</v>
      </c>
      <c r="K94">
        <v>4</v>
      </c>
      <c r="L94">
        <v>1</v>
      </c>
      <c r="M94">
        <v>9</v>
      </c>
      <c r="N94">
        <v>2980</v>
      </c>
      <c r="AE94">
        <v>2</v>
      </c>
      <c r="AF94">
        <v>1</v>
      </c>
      <c r="AG94">
        <v>2</v>
      </c>
      <c r="AH94">
        <v>1</v>
      </c>
      <c r="AI94">
        <v>600</v>
      </c>
    </row>
    <row r="95" spans="2:35" x14ac:dyDescent="0.25">
      <c r="B95" t="s">
        <v>190</v>
      </c>
      <c r="C95">
        <v>1</v>
      </c>
      <c r="J95">
        <v>2</v>
      </c>
      <c r="K95">
        <v>4</v>
      </c>
      <c r="L95">
        <v>1</v>
      </c>
      <c r="M95">
        <v>10</v>
      </c>
      <c r="N95">
        <v>710</v>
      </c>
      <c r="AE95">
        <v>2</v>
      </c>
      <c r="AF95">
        <v>1</v>
      </c>
      <c r="AG95">
        <v>3</v>
      </c>
      <c r="AH95">
        <v>1</v>
      </c>
      <c r="AI95">
        <v>800</v>
      </c>
    </row>
    <row r="96" spans="2:35" x14ac:dyDescent="0.25">
      <c r="B96" t="s">
        <v>191</v>
      </c>
      <c r="C96">
        <v>1</v>
      </c>
      <c r="J96">
        <v>2</v>
      </c>
      <c r="K96">
        <v>4</v>
      </c>
      <c r="L96">
        <v>1</v>
      </c>
      <c r="M96">
        <v>11</v>
      </c>
      <c r="N96">
        <v>140</v>
      </c>
      <c r="AE96">
        <v>2</v>
      </c>
      <c r="AF96">
        <v>1</v>
      </c>
      <c r="AG96">
        <v>3</v>
      </c>
      <c r="AH96">
        <v>2</v>
      </c>
      <c r="AI96">
        <v>340</v>
      </c>
    </row>
    <row r="97" spans="2:35" x14ac:dyDescent="0.25">
      <c r="B97" t="s">
        <v>192</v>
      </c>
      <c r="C97">
        <v>1</v>
      </c>
      <c r="J97">
        <v>2</v>
      </c>
      <c r="K97">
        <v>4</v>
      </c>
      <c r="L97">
        <v>1</v>
      </c>
      <c r="M97">
        <v>12</v>
      </c>
      <c r="N97">
        <v>490</v>
      </c>
      <c r="AE97">
        <v>2</v>
      </c>
      <c r="AF97">
        <v>1</v>
      </c>
      <c r="AG97">
        <v>3</v>
      </c>
      <c r="AH97">
        <v>3</v>
      </c>
      <c r="AI97">
        <v>600</v>
      </c>
    </row>
    <row r="98" spans="2:35" x14ac:dyDescent="0.25">
      <c r="B98" t="s">
        <v>193</v>
      </c>
      <c r="C98">
        <v>32180</v>
      </c>
      <c r="J98">
        <v>2</v>
      </c>
      <c r="K98">
        <v>4</v>
      </c>
      <c r="L98">
        <v>2</v>
      </c>
      <c r="M98">
        <v>3</v>
      </c>
      <c r="N98">
        <v>1700</v>
      </c>
      <c r="AE98">
        <v>2</v>
      </c>
      <c r="AF98">
        <v>1</v>
      </c>
      <c r="AG98">
        <v>3</v>
      </c>
      <c r="AH98">
        <v>6</v>
      </c>
      <c r="AI98">
        <v>300</v>
      </c>
    </row>
    <row r="99" spans="2:35" x14ac:dyDescent="0.25">
      <c r="B99" t="s">
        <v>194</v>
      </c>
      <c r="C99">
        <v>30710</v>
      </c>
      <c r="J99">
        <v>2</v>
      </c>
      <c r="K99">
        <v>4</v>
      </c>
      <c r="L99">
        <v>2</v>
      </c>
      <c r="M99">
        <v>8</v>
      </c>
      <c r="N99">
        <v>1320</v>
      </c>
      <c r="AE99">
        <v>2</v>
      </c>
      <c r="AF99">
        <v>1</v>
      </c>
      <c r="AG99">
        <v>3</v>
      </c>
      <c r="AH99">
        <v>7</v>
      </c>
      <c r="AI99">
        <v>800</v>
      </c>
    </row>
    <row r="100" spans="2:35" x14ac:dyDescent="0.25">
      <c r="B100" t="s">
        <v>195</v>
      </c>
      <c r="C100">
        <v>32320</v>
      </c>
      <c r="J100">
        <v>3</v>
      </c>
      <c r="K100">
        <v>3</v>
      </c>
      <c r="L100">
        <v>1</v>
      </c>
      <c r="M100">
        <v>3</v>
      </c>
      <c r="N100">
        <v>1630</v>
      </c>
      <c r="AE100">
        <v>2</v>
      </c>
      <c r="AF100">
        <v>1</v>
      </c>
      <c r="AG100">
        <v>3</v>
      </c>
      <c r="AH100">
        <v>8</v>
      </c>
      <c r="AI100">
        <v>340</v>
      </c>
    </row>
    <row r="101" spans="2:35" x14ac:dyDescent="0.25">
      <c r="B101" t="s">
        <v>196</v>
      </c>
      <c r="C101">
        <v>32760</v>
      </c>
      <c r="J101">
        <v>4</v>
      </c>
      <c r="K101">
        <v>3</v>
      </c>
      <c r="L101">
        <v>1</v>
      </c>
      <c r="M101">
        <v>2</v>
      </c>
      <c r="N101">
        <v>270</v>
      </c>
      <c r="AE101">
        <v>2</v>
      </c>
      <c r="AF101">
        <v>1</v>
      </c>
      <c r="AG101">
        <v>3</v>
      </c>
      <c r="AH101">
        <v>9</v>
      </c>
      <c r="AI101">
        <v>600</v>
      </c>
    </row>
    <row r="102" spans="2:35" x14ac:dyDescent="0.25">
      <c r="B102" t="s">
        <v>197</v>
      </c>
      <c r="C102">
        <v>32350</v>
      </c>
      <c r="J102">
        <v>4</v>
      </c>
      <c r="K102">
        <v>3</v>
      </c>
      <c r="L102">
        <v>1</v>
      </c>
      <c r="M102">
        <v>3</v>
      </c>
      <c r="N102">
        <v>2000</v>
      </c>
      <c r="AE102">
        <v>2</v>
      </c>
      <c r="AF102">
        <v>1</v>
      </c>
      <c r="AG102">
        <v>3</v>
      </c>
      <c r="AH102">
        <v>12</v>
      </c>
      <c r="AI102">
        <v>300</v>
      </c>
    </row>
    <row r="103" spans="2:35" x14ac:dyDescent="0.25">
      <c r="B103" t="s">
        <v>198</v>
      </c>
      <c r="C103">
        <v>32320</v>
      </c>
      <c r="AE103">
        <v>2</v>
      </c>
      <c r="AF103">
        <v>1</v>
      </c>
      <c r="AG103">
        <v>4</v>
      </c>
      <c r="AH103">
        <v>1</v>
      </c>
      <c r="AI103">
        <v>600</v>
      </c>
    </row>
    <row r="104" spans="2:35" x14ac:dyDescent="0.25">
      <c r="B104" t="s">
        <v>199</v>
      </c>
      <c r="C104">
        <v>32180</v>
      </c>
      <c r="AE104">
        <v>2</v>
      </c>
      <c r="AF104">
        <v>1</v>
      </c>
      <c r="AG104">
        <v>4</v>
      </c>
      <c r="AH104">
        <v>2</v>
      </c>
      <c r="AI104">
        <v>440</v>
      </c>
    </row>
    <row r="105" spans="2:35" x14ac:dyDescent="0.25">
      <c r="B105" t="s">
        <v>200</v>
      </c>
      <c r="C105">
        <v>30710</v>
      </c>
      <c r="AE105">
        <v>2</v>
      </c>
      <c r="AF105">
        <v>1</v>
      </c>
      <c r="AG105">
        <v>4</v>
      </c>
      <c r="AH105">
        <v>3</v>
      </c>
      <c r="AI105">
        <v>600</v>
      </c>
    </row>
    <row r="106" spans="2:35" x14ac:dyDescent="0.25">
      <c r="B106" t="s">
        <v>201</v>
      </c>
      <c r="C106">
        <v>32320</v>
      </c>
      <c r="AE106">
        <v>2</v>
      </c>
      <c r="AF106">
        <v>1</v>
      </c>
      <c r="AG106">
        <v>4</v>
      </c>
      <c r="AH106">
        <v>6</v>
      </c>
      <c r="AI106">
        <v>300</v>
      </c>
    </row>
    <row r="107" spans="2:35" x14ac:dyDescent="0.25">
      <c r="B107" t="s">
        <v>202</v>
      </c>
      <c r="C107">
        <v>32760</v>
      </c>
      <c r="AE107">
        <v>2</v>
      </c>
      <c r="AF107">
        <v>1</v>
      </c>
      <c r="AG107">
        <v>4</v>
      </c>
      <c r="AH107">
        <v>7</v>
      </c>
      <c r="AI107">
        <v>600</v>
      </c>
    </row>
    <row r="108" spans="2:35" x14ac:dyDescent="0.25">
      <c r="B108" t="s">
        <v>203</v>
      </c>
      <c r="C108">
        <v>32350</v>
      </c>
      <c r="AE108">
        <v>2</v>
      </c>
      <c r="AF108">
        <v>1</v>
      </c>
      <c r="AG108">
        <v>4</v>
      </c>
      <c r="AH108">
        <v>8</v>
      </c>
      <c r="AI108">
        <v>440</v>
      </c>
    </row>
    <row r="109" spans="2:35" x14ac:dyDescent="0.25">
      <c r="B109" t="s">
        <v>204</v>
      </c>
      <c r="C109">
        <v>36700</v>
      </c>
      <c r="AE109">
        <v>2</v>
      </c>
      <c r="AF109">
        <v>1</v>
      </c>
      <c r="AG109">
        <v>4</v>
      </c>
      <c r="AH109">
        <v>9</v>
      </c>
      <c r="AI109">
        <v>600</v>
      </c>
    </row>
    <row r="110" spans="2:35" x14ac:dyDescent="0.25">
      <c r="B110" t="s">
        <v>205</v>
      </c>
      <c r="C110">
        <v>36700</v>
      </c>
      <c r="AE110">
        <v>2</v>
      </c>
      <c r="AF110">
        <v>1</v>
      </c>
      <c r="AG110">
        <v>4</v>
      </c>
      <c r="AH110">
        <v>12</v>
      </c>
      <c r="AI110">
        <v>300</v>
      </c>
    </row>
    <row r="111" spans="2:35" x14ac:dyDescent="0.25">
      <c r="B111" t="s">
        <v>206</v>
      </c>
      <c r="C111">
        <v>35190</v>
      </c>
      <c r="AE111">
        <v>2</v>
      </c>
      <c r="AF111">
        <v>1</v>
      </c>
      <c r="AG111">
        <v>5</v>
      </c>
      <c r="AH111">
        <v>1</v>
      </c>
      <c r="AI111">
        <v>400</v>
      </c>
    </row>
    <row r="112" spans="2:35" x14ac:dyDescent="0.25">
      <c r="B112" t="s">
        <v>207</v>
      </c>
      <c r="C112">
        <v>35000</v>
      </c>
      <c r="AE112">
        <v>2</v>
      </c>
      <c r="AF112">
        <v>1</v>
      </c>
      <c r="AG112">
        <v>6</v>
      </c>
      <c r="AH112">
        <v>1</v>
      </c>
      <c r="AI112">
        <v>1400</v>
      </c>
    </row>
    <row r="113" spans="2:35" x14ac:dyDescent="0.25">
      <c r="B113" t="s">
        <v>208</v>
      </c>
      <c r="C113">
        <v>35660</v>
      </c>
      <c r="AE113">
        <v>2</v>
      </c>
      <c r="AF113">
        <v>1</v>
      </c>
      <c r="AG113">
        <v>6</v>
      </c>
      <c r="AH113">
        <v>2</v>
      </c>
      <c r="AI113">
        <v>600</v>
      </c>
    </row>
    <row r="114" spans="2:35" x14ac:dyDescent="0.25">
      <c r="B114" t="s">
        <v>209</v>
      </c>
      <c r="C114">
        <v>35790</v>
      </c>
      <c r="AE114">
        <v>2</v>
      </c>
      <c r="AF114">
        <v>1</v>
      </c>
      <c r="AG114">
        <v>6</v>
      </c>
      <c r="AH114">
        <v>3</v>
      </c>
      <c r="AI114">
        <v>540</v>
      </c>
    </row>
    <row r="115" spans="2:35" x14ac:dyDescent="0.25">
      <c r="B115" t="s">
        <v>210</v>
      </c>
      <c r="C115">
        <v>35850</v>
      </c>
      <c r="AE115">
        <v>2</v>
      </c>
      <c r="AF115">
        <v>1</v>
      </c>
      <c r="AG115">
        <v>6</v>
      </c>
      <c r="AH115">
        <v>5</v>
      </c>
      <c r="AI115">
        <v>300</v>
      </c>
    </row>
    <row r="116" spans="2:35" x14ac:dyDescent="0.25">
      <c r="B116" t="s">
        <v>211</v>
      </c>
      <c r="C116">
        <v>35660</v>
      </c>
      <c r="AE116">
        <v>2</v>
      </c>
      <c r="AF116">
        <v>1</v>
      </c>
      <c r="AG116">
        <v>6</v>
      </c>
      <c r="AH116">
        <v>6</v>
      </c>
      <c r="AI116">
        <v>270</v>
      </c>
    </row>
    <row r="117" spans="2:35" x14ac:dyDescent="0.25">
      <c r="B117" t="s">
        <v>212</v>
      </c>
      <c r="C117">
        <v>35190</v>
      </c>
      <c r="AE117">
        <v>2</v>
      </c>
      <c r="AF117">
        <v>1</v>
      </c>
      <c r="AG117">
        <v>6</v>
      </c>
      <c r="AH117">
        <v>7</v>
      </c>
      <c r="AI117">
        <v>1400</v>
      </c>
    </row>
    <row r="118" spans="2:35" x14ac:dyDescent="0.25">
      <c r="B118" t="s">
        <v>213</v>
      </c>
      <c r="C118">
        <v>35000</v>
      </c>
      <c r="AE118">
        <v>2</v>
      </c>
      <c r="AF118">
        <v>1</v>
      </c>
      <c r="AG118">
        <v>6</v>
      </c>
      <c r="AH118">
        <v>8</v>
      </c>
      <c r="AI118">
        <v>600</v>
      </c>
    </row>
    <row r="119" spans="2:35" x14ac:dyDescent="0.25">
      <c r="B119" t="s">
        <v>214</v>
      </c>
      <c r="C119">
        <v>35660</v>
      </c>
      <c r="AE119">
        <v>2</v>
      </c>
      <c r="AF119">
        <v>1</v>
      </c>
      <c r="AG119">
        <v>6</v>
      </c>
      <c r="AH119">
        <v>9</v>
      </c>
      <c r="AI119">
        <v>540</v>
      </c>
    </row>
    <row r="120" spans="2:35" x14ac:dyDescent="0.25">
      <c r="B120" t="s">
        <v>215</v>
      </c>
      <c r="C120">
        <v>35790</v>
      </c>
      <c r="AE120">
        <v>2</v>
      </c>
      <c r="AF120">
        <v>1</v>
      </c>
      <c r="AG120">
        <v>6</v>
      </c>
      <c r="AH120">
        <v>11</v>
      </c>
      <c r="AI120">
        <v>300</v>
      </c>
    </row>
    <row r="121" spans="2:35" x14ac:dyDescent="0.25">
      <c r="B121" t="s">
        <v>216</v>
      </c>
      <c r="C121">
        <v>35850</v>
      </c>
      <c r="AE121">
        <v>2</v>
      </c>
      <c r="AF121">
        <v>1</v>
      </c>
      <c r="AG121">
        <v>6</v>
      </c>
      <c r="AH121">
        <v>12</v>
      </c>
      <c r="AI121">
        <v>270</v>
      </c>
    </row>
    <row r="122" spans="2:35" x14ac:dyDescent="0.25">
      <c r="B122" t="s">
        <v>217</v>
      </c>
      <c r="C122" s="2">
        <v>586221065607451</v>
      </c>
      <c r="AE122">
        <v>2</v>
      </c>
      <c r="AF122">
        <v>1</v>
      </c>
      <c r="AG122">
        <v>7</v>
      </c>
      <c r="AH122">
        <v>1</v>
      </c>
      <c r="AI122">
        <v>600</v>
      </c>
    </row>
    <row r="123" spans="2:35" x14ac:dyDescent="0.25">
      <c r="B123" t="s">
        <v>218</v>
      </c>
      <c r="C123" s="2">
        <v>933653626172501</v>
      </c>
      <c r="AE123">
        <v>2</v>
      </c>
      <c r="AF123">
        <v>1</v>
      </c>
      <c r="AG123">
        <v>8</v>
      </c>
      <c r="AH123">
        <v>1</v>
      </c>
      <c r="AI123">
        <v>600</v>
      </c>
    </row>
    <row r="124" spans="2:35" x14ac:dyDescent="0.25">
      <c r="B124" t="s">
        <v>219</v>
      </c>
      <c r="C124" s="2">
        <v>121689973222255</v>
      </c>
      <c r="AE124">
        <v>2</v>
      </c>
      <c r="AF124">
        <v>1</v>
      </c>
      <c r="AG124">
        <v>8</v>
      </c>
      <c r="AH124">
        <v>2</v>
      </c>
      <c r="AI124">
        <v>600</v>
      </c>
    </row>
    <row r="125" spans="2:35" x14ac:dyDescent="0.25">
      <c r="B125" t="s">
        <v>220</v>
      </c>
      <c r="C125" s="2">
        <v>524585673195453</v>
      </c>
      <c r="AE125">
        <v>2</v>
      </c>
      <c r="AF125">
        <v>1</v>
      </c>
      <c r="AG125">
        <v>8</v>
      </c>
      <c r="AH125">
        <v>3</v>
      </c>
      <c r="AI125">
        <v>440</v>
      </c>
    </row>
    <row r="126" spans="2:35" x14ac:dyDescent="0.25">
      <c r="B126" t="s">
        <v>221</v>
      </c>
      <c r="C126" s="2">
        <v>150900404263139</v>
      </c>
      <c r="AE126">
        <v>2</v>
      </c>
      <c r="AF126">
        <v>1</v>
      </c>
      <c r="AG126">
        <v>8</v>
      </c>
      <c r="AH126">
        <v>5</v>
      </c>
      <c r="AI126">
        <v>300</v>
      </c>
    </row>
    <row r="127" spans="2:35" x14ac:dyDescent="0.25">
      <c r="B127" t="s">
        <v>222</v>
      </c>
      <c r="C127">
        <v>42800</v>
      </c>
      <c r="AE127">
        <v>2</v>
      </c>
      <c r="AF127">
        <v>1</v>
      </c>
      <c r="AG127">
        <v>8</v>
      </c>
      <c r="AH127">
        <v>6</v>
      </c>
      <c r="AI127">
        <v>220</v>
      </c>
    </row>
    <row r="128" spans="2:35" x14ac:dyDescent="0.25">
      <c r="B128" t="s">
        <v>223</v>
      </c>
      <c r="C128" s="2">
        <v>524585673195453</v>
      </c>
      <c r="AE128">
        <v>2</v>
      </c>
      <c r="AF128">
        <v>1</v>
      </c>
      <c r="AG128">
        <v>8</v>
      </c>
      <c r="AH128">
        <v>7</v>
      </c>
      <c r="AI128">
        <v>600</v>
      </c>
    </row>
    <row r="129" spans="2:35" x14ac:dyDescent="0.25">
      <c r="B129" t="s">
        <v>224</v>
      </c>
      <c r="C129" s="2">
        <v>933653626172501</v>
      </c>
      <c r="AE129">
        <v>2</v>
      </c>
      <c r="AF129">
        <v>1</v>
      </c>
      <c r="AG129">
        <v>8</v>
      </c>
      <c r="AH129">
        <v>8</v>
      </c>
      <c r="AI129">
        <v>600</v>
      </c>
    </row>
    <row r="130" spans="2:35" x14ac:dyDescent="0.25">
      <c r="B130" t="s">
        <v>225</v>
      </c>
      <c r="C130" s="2">
        <v>121689973222255</v>
      </c>
      <c r="AE130">
        <v>2</v>
      </c>
      <c r="AF130">
        <v>1</v>
      </c>
      <c r="AG130">
        <v>8</v>
      </c>
      <c r="AH130">
        <v>9</v>
      </c>
      <c r="AI130">
        <v>440</v>
      </c>
    </row>
    <row r="131" spans="2:35" x14ac:dyDescent="0.25">
      <c r="B131" t="s">
        <v>226</v>
      </c>
      <c r="C131" s="2">
        <v>111065461517392</v>
      </c>
      <c r="AE131">
        <v>2</v>
      </c>
      <c r="AF131">
        <v>1</v>
      </c>
      <c r="AG131">
        <v>8</v>
      </c>
      <c r="AH131">
        <v>11</v>
      </c>
      <c r="AI131">
        <v>300</v>
      </c>
    </row>
    <row r="132" spans="2:35" x14ac:dyDescent="0.25">
      <c r="B132" t="s">
        <v>227</v>
      </c>
      <c r="C132" s="2">
        <v>138425772168715</v>
      </c>
      <c r="AE132">
        <v>2</v>
      </c>
      <c r="AF132">
        <v>1</v>
      </c>
      <c r="AG132">
        <v>8</v>
      </c>
      <c r="AH132">
        <v>12</v>
      </c>
      <c r="AI132">
        <v>220</v>
      </c>
    </row>
    <row r="133" spans="2:35" x14ac:dyDescent="0.25">
      <c r="B133" t="s">
        <v>228</v>
      </c>
      <c r="C133" s="2">
        <v>121689973222255</v>
      </c>
      <c r="AE133">
        <v>2</v>
      </c>
      <c r="AF133">
        <v>2</v>
      </c>
      <c r="AG133">
        <v>2</v>
      </c>
      <c r="AH133">
        <v>2</v>
      </c>
      <c r="AI133">
        <v>540</v>
      </c>
    </row>
    <row r="134" spans="2:35" x14ac:dyDescent="0.25">
      <c r="B134" t="s">
        <v>229</v>
      </c>
      <c r="C134" s="2">
        <v>586221065607451</v>
      </c>
      <c r="AE134">
        <v>2</v>
      </c>
      <c r="AF134">
        <v>2</v>
      </c>
      <c r="AG134">
        <v>2</v>
      </c>
      <c r="AH134">
        <v>3</v>
      </c>
      <c r="AI134">
        <v>1400</v>
      </c>
    </row>
    <row r="135" spans="2:35" x14ac:dyDescent="0.25">
      <c r="B135" t="s">
        <v>230</v>
      </c>
      <c r="C135" s="2">
        <v>933653626172501</v>
      </c>
      <c r="AE135">
        <v>2</v>
      </c>
      <c r="AF135">
        <v>2</v>
      </c>
      <c r="AG135">
        <v>2</v>
      </c>
      <c r="AH135">
        <v>6</v>
      </c>
      <c r="AI135">
        <v>700</v>
      </c>
    </row>
    <row r="136" spans="2:35" x14ac:dyDescent="0.25">
      <c r="B136" t="s">
        <v>231</v>
      </c>
      <c r="C136" s="2">
        <v>121689973222255</v>
      </c>
      <c r="AE136">
        <v>2</v>
      </c>
      <c r="AF136">
        <v>2</v>
      </c>
      <c r="AG136">
        <v>2</v>
      </c>
      <c r="AH136">
        <v>7</v>
      </c>
      <c r="AI136">
        <v>600</v>
      </c>
    </row>
    <row r="137" spans="2:35" x14ac:dyDescent="0.25">
      <c r="B137" t="s">
        <v>232</v>
      </c>
      <c r="C137" s="2">
        <v>524585673195453</v>
      </c>
      <c r="AE137">
        <v>2</v>
      </c>
      <c r="AF137">
        <v>2</v>
      </c>
      <c r="AG137">
        <v>2</v>
      </c>
      <c r="AH137">
        <v>8</v>
      </c>
      <c r="AI137">
        <v>540</v>
      </c>
    </row>
    <row r="138" spans="2:35" x14ac:dyDescent="0.25">
      <c r="B138" t="s">
        <v>233</v>
      </c>
      <c r="C138" s="2">
        <v>150900404263139</v>
      </c>
      <c r="AE138">
        <v>2</v>
      </c>
      <c r="AF138">
        <v>2</v>
      </c>
      <c r="AG138">
        <v>2</v>
      </c>
      <c r="AH138">
        <v>9</v>
      </c>
      <c r="AI138">
        <v>1400</v>
      </c>
    </row>
    <row r="139" spans="2:35" x14ac:dyDescent="0.25">
      <c r="B139" t="s">
        <v>234</v>
      </c>
      <c r="C139">
        <v>42800</v>
      </c>
      <c r="AE139">
        <v>2</v>
      </c>
      <c r="AF139">
        <v>2</v>
      </c>
      <c r="AG139">
        <v>2</v>
      </c>
      <c r="AH139">
        <v>12</v>
      </c>
      <c r="AI139">
        <v>700</v>
      </c>
    </row>
    <row r="140" spans="2:35" x14ac:dyDescent="0.25">
      <c r="B140" t="s">
        <v>235</v>
      </c>
      <c r="C140" s="2">
        <v>524585673195453</v>
      </c>
      <c r="AE140">
        <v>2</v>
      </c>
      <c r="AF140">
        <v>2</v>
      </c>
      <c r="AG140">
        <v>5</v>
      </c>
      <c r="AH140">
        <v>2</v>
      </c>
      <c r="AI140">
        <v>400</v>
      </c>
    </row>
    <row r="141" spans="2:35" x14ac:dyDescent="0.25">
      <c r="B141" t="s">
        <v>236</v>
      </c>
      <c r="C141" s="2">
        <v>933653626172501</v>
      </c>
      <c r="AE141">
        <v>2</v>
      </c>
      <c r="AF141">
        <v>2</v>
      </c>
      <c r="AG141">
        <v>5</v>
      </c>
      <c r="AH141">
        <v>3</v>
      </c>
      <c r="AI141">
        <v>400</v>
      </c>
    </row>
    <row r="142" spans="2:35" x14ac:dyDescent="0.25">
      <c r="B142" t="s">
        <v>237</v>
      </c>
      <c r="C142" s="2">
        <v>121689973222255</v>
      </c>
      <c r="AE142">
        <v>2</v>
      </c>
      <c r="AF142">
        <v>2</v>
      </c>
      <c r="AG142">
        <v>5</v>
      </c>
      <c r="AH142">
        <v>5</v>
      </c>
      <c r="AI142">
        <v>200</v>
      </c>
    </row>
    <row r="143" spans="2:35" x14ac:dyDescent="0.25">
      <c r="B143" t="s">
        <v>238</v>
      </c>
      <c r="C143" s="2">
        <v>111065461517392</v>
      </c>
      <c r="AE143">
        <v>2</v>
      </c>
      <c r="AF143">
        <v>2</v>
      </c>
      <c r="AG143">
        <v>5</v>
      </c>
      <c r="AH143">
        <v>6</v>
      </c>
      <c r="AI143">
        <v>200</v>
      </c>
    </row>
    <row r="144" spans="2:35" x14ac:dyDescent="0.25">
      <c r="B144" t="s">
        <v>239</v>
      </c>
      <c r="C144" s="2">
        <v>138425772168715</v>
      </c>
      <c r="AE144">
        <v>2</v>
      </c>
      <c r="AF144">
        <v>2</v>
      </c>
      <c r="AG144">
        <v>5</v>
      </c>
      <c r="AH144">
        <v>7</v>
      </c>
      <c r="AI144">
        <v>400</v>
      </c>
    </row>
    <row r="145" spans="2:35" x14ac:dyDescent="0.25">
      <c r="B145" t="s">
        <v>240</v>
      </c>
      <c r="C145" s="2">
        <v>121689973222255</v>
      </c>
      <c r="AE145">
        <v>2</v>
      </c>
      <c r="AF145">
        <v>2</v>
      </c>
      <c r="AG145">
        <v>5</v>
      </c>
      <c r="AH145">
        <v>8</v>
      </c>
      <c r="AI145">
        <v>400</v>
      </c>
    </row>
    <row r="146" spans="2:35" x14ac:dyDescent="0.25">
      <c r="B146" t="s">
        <v>241</v>
      </c>
      <c r="C146" s="2">
        <v>586221065607451</v>
      </c>
      <c r="AE146">
        <v>2</v>
      </c>
      <c r="AF146">
        <v>2</v>
      </c>
      <c r="AG146">
        <v>5</v>
      </c>
      <c r="AH146">
        <v>9</v>
      </c>
      <c r="AI146">
        <v>400</v>
      </c>
    </row>
    <row r="147" spans="2:35" x14ac:dyDescent="0.25">
      <c r="B147" t="s">
        <v>242</v>
      </c>
      <c r="C147" s="2">
        <v>933653626172501</v>
      </c>
      <c r="AE147">
        <v>2</v>
      </c>
      <c r="AF147">
        <v>2</v>
      </c>
      <c r="AG147">
        <v>5</v>
      </c>
      <c r="AH147">
        <v>11</v>
      </c>
      <c r="AI147">
        <v>200</v>
      </c>
    </row>
    <row r="148" spans="2:35" x14ac:dyDescent="0.25">
      <c r="B148" t="s">
        <v>243</v>
      </c>
      <c r="C148" s="2">
        <v>121689973222255</v>
      </c>
      <c r="AE148">
        <v>2</v>
      </c>
      <c r="AF148">
        <v>2</v>
      </c>
      <c r="AG148">
        <v>5</v>
      </c>
      <c r="AH148">
        <v>12</v>
      </c>
      <c r="AI148">
        <v>200</v>
      </c>
    </row>
    <row r="149" spans="2:35" x14ac:dyDescent="0.25">
      <c r="B149" t="s">
        <v>244</v>
      </c>
      <c r="C149" s="2">
        <v>524585673195453</v>
      </c>
      <c r="AE149">
        <v>2</v>
      </c>
      <c r="AF149">
        <v>2</v>
      </c>
      <c r="AG149">
        <v>7</v>
      </c>
      <c r="AH149">
        <v>2</v>
      </c>
      <c r="AI149">
        <v>800</v>
      </c>
    </row>
    <row r="150" spans="2:35" x14ac:dyDescent="0.25">
      <c r="B150" t="s">
        <v>245</v>
      </c>
      <c r="C150" s="2">
        <v>150900404263139</v>
      </c>
      <c r="AE150">
        <v>2</v>
      </c>
      <c r="AF150">
        <v>2</v>
      </c>
      <c r="AG150">
        <v>7</v>
      </c>
      <c r="AH150">
        <v>3</v>
      </c>
      <c r="AI150">
        <v>340</v>
      </c>
    </row>
    <row r="151" spans="2:35" x14ac:dyDescent="0.25">
      <c r="B151" t="s">
        <v>246</v>
      </c>
      <c r="C151">
        <v>42800</v>
      </c>
      <c r="AE151">
        <v>2</v>
      </c>
      <c r="AF151">
        <v>2</v>
      </c>
      <c r="AG151">
        <v>7</v>
      </c>
      <c r="AH151">
        <v>5</v>
      </c>
      <c r="AI151">
        <v>400</v>
      </c>
    </row>
    <row r="152" spans="2:35" x14ac:dyDescent="0.25">
      <c r="B152" t="s">
        <v>247</v>
      </c>
      <c r="C152" s="2">
        <v>524585673195453</v>
      </c>
      <c r="AE152">
        <v>2</v>
      </c>
      <c r="AF152">
        <v>2</v>
      </c>
      <c r="AG152">
        <v>7</v>
      </c>
      <c r="AH152">
        <v>6</v>
      </c>
      <c r="AI152">
        <v>170</v>
      </c>
    </row>
    <row r="153" spans="2:35" x14ac:dyDescent="0.25">
      <c r="B153" t="s">
        <v>248</v>
      </c>
      <c r="C153" s="2">
        <v>933653626172501</v>
      </c>
      <c r="AE153">
        <v>2</v>
      </c>
      <c r="AF153">
        <v>2</v>
      </c>
      <c r="AG153">
        <v>7</v>
      </c>
      <c r="AH153">
        <v>7</v>
      </c>
      <c r="AI153">
        <v>600</v>
      </c>
    </row>
    <row r="154" spans="2:35" x14ac:dyDescent="0.25">
      <c r="B154" t="s">
        <v>249</v>
      </c>
      <c r="C154" s="2">
        <v>121689973222255</v>
      </c>
      <c r="AE154">
        <v>2</v>
      </c>
      <c r="AF154">
        <v>2</v>
      </c>
      <c r="AG154">
        <v>7</v>
      </c>
      <c r="AH154">
        <v>8</v>
      </c>
      <c r="AI154">
        <v>800</v>
      </c>
    </row>
    <row r="155" spans="2:35" x14ac:dyDescent="0.25">
      <c r="B155" t="s">
        <v>250</v>
      </c>
      <c r="C155" s="2">
        <v>111065461517392</v>
      </c>
      <c r="AE155">
        <v>2</v>
      </c>
      <c r="AF155">
        <v>2</v>
      </c>
      <c r="AG155">
        <v>7</v>
      </c>
      <c r="AH155">
        <v>9</v>
      </c>
      <c r="AI155">
        <v>340</v>
      </c>
    </row>
    <row r="156" spans="2:35" x14ac:dyDescent="0.25">
      <c r="B156" t="s">
        <v>251</v>
      </c>
      <c r="C156" s="2">
        <v>138425772168715</v>
      </c>
      <c r="AE156">
        <v>2</v>
      </c>
      <c r="AF156">
        <v>2</v>
      </c>
      <c r="AG156">
        <v>7</v>
      </c>
      <c r="AH156">
        <v>11</v>
      </c>
      <c r="AI156">
        <v>400</v>
      </c>
    </row>
    <row r="157" spans="2:35" x14ac:dyDescent="0.25">
      <c r="B157" t="s">
        <v>252</v>
      </c>
      <c r="C157" s="2">
        <v>121689973222255</v>
      </c>
      <c r="AE157">
        <v>2</v>
      </c>
      <c r="AF157">
        <v>2</v>
      </c>
      <c r="AG157">
        <v>7</v>
      </c>
      <c r="AH157">
        <v>12</v>
      </c>
      <c r="AI157">
        <v>170</v>
      </c>
    </row>
    <row r="158" spans="2:35" x14ac:dyDescent="0.25">
      <c r="B158" t="s">
        <v>253</v>
      </c>
      <c r="C158" s="2">
        <v>586221065607451</v>
      </c>
      <c r="AE158">
        <v>3</v>
      </c>
      <c r="AF158">
        <v>1</v>
      </c>
      <c r="AG158">
        <v>1</v>
      </c>
      <c r="AH158">
        <v>1</v>
      </c>
      <c r="AI158">
        <v>100</v>
      </c>
    </row>
    <row r="159" spans="2:35" x14ac:dyDescent="0.25">
      <c r="B159" t="s">
        <v>254</v>
      </c>
      <c r="C159" s="2">
        <v>933653626172501</v>
      </c>
      <c r="AE159">
        <v>3</v>
      </c>
      <c r="AF159">
        <v>1</v>
      </c>
      <c r="AG159">
        <v>1</v>
      </c>
      <c r="AH159">
        <v>2</v>
      </c>
      <c r="AI159">
        <v>300</v>
      </c>
    </row>
    <row r="160" spans="2:35" x14ac:dyDescent="0.25">
      <c r="B160" t="s">
        <v>255</v>
      </c>
      <c r="C160" s="2">
        <v>121689973222255</v>
      </c>
      <c r="AE160">
        <v>3</v>
      </c>
      <c r="AF160">
        <v>1</v>
      </c>
      <c r="AG160">
        <v>1</v>
      </c>
      <c r="AH160">
        <v>3</v>
      </c>
      <c r="AI160">
        <v>600</v>
      </c>
    </row>
    <row r="161" spans="2:35" x14ac:dyDescent="0.25">
      <c r="B161" t="s">
        <v>256</v>
      </c>
      <c r="C161" s="2">
        <v>524585673195453</v>
      </c>
      <c r="AE161">
        <v>3</v>
      </c>
      <c r="AF161">
        <v>1</v>
      </c>
      <c r="AG161">
        <v>1</v>
      </c>
      <c r="AH161">
        <v>4</v>
      </c>
      <c r="AI161">
        <v>200</v>
      </c>
    </row>
    <row r="162" spans="2:35" x14ac:dyDescent="0.25">
      <c r="B162" t="s">
        <v>257</v>
      </c>
      <c r="C162" s="2">
        <v>150900404263139</v>
      </c>
      <c r="AE162">
        <v>3</v>
      </c>
      <c r="AF162">
        <v>1</v>
      </c>
      <c r="AG162">
        <v>1</v>
      </c>
      <c r="AH162">
        <v>5</v>
      </c>
      <c r="AI162">
        <v>600</v>
      </c>
    </row>
    <row r="163" spans="2:35" x14ac:dyDescent="0.25">
      <c r="B163" t="s">
        <v>258</v>
      </c>
      <c r="C163">
        <v>42800</v>
      </c>
      <c r="AE163">
        <v>3</v>
      </c>
      <c r="AF163">
        <v>1</v>
      </c>
      <c r="AG163">
        <v>1</v>
      </c>
      <c r="AH163">
        <v>7</v>
      </c>
      <c r="AI163">
        <v>150</v>
      </c>
    </row>
    <row r="164" spans="2:35" x14ac:dyDescent="0.25">
      <c r="B164" t="s">
        <v>259</v>
      </c>
      <c r="C164" s="2">
        <v>524585673195453</v>
      </c>
      <c r="AE164">
        <v>3</v>
      </c>
      <c r="AF164">
        <v>1</v>
      </c>
      <c r="AG164">
        <v>1</v>
      </c>
      <c r="AH164">
        <v>8</v>
      </c>
      <c r="AI164">
        <v>450</v>
      </c>
    </row>
    <row r="165" spans="2:35" x14ac:dyDescent="0.25">
      <c r="B165" t="s">
        <v>260</v>
      </c>
      <c r="C165" s="2">
        <v>933653626172501</v>
      </c>
      <c r="AE165">
        <v>3</v>
      </c>
      <c r="AF165">
        <v>1</v>
      </c>
      <c r="AG165">
        <v>1</v>
      </c>
      <c r="AH165">
        <v>9</v>
      </c>
      <c r="AI165">
        <v>200</v>
      </c>
    </row>
    <row r="166" spans="2:35" x14ac:dyDescent="0.25">
      <c r="B166" t="s">
        <v>261</v>
      </c>
      <c r="C166" s="2">
        <v>121689973222255</v>
      </c>
      <c r="AE166">
        <v>3</v>
      </c>
      <c r="AF166">
        <v>1</v>
      </c>
      <c r="AG166">
        <v>1</v>
      </c>
      <c r="AH166">
        <v>10</v>
      </c>
      <c r="AI166">
        <v>150</v>
      </c>
    </row>
    <row r="167" spans="2:35" x14ac:dyDescent="0.25">
      <c r="B167" t="s">
        <v>262</v>
      </c>
      <c r="C167" s="2">
        <v>111065461517392</v>
      </c>
      <c r="AE167">
        <v>3</v>
      </c>
      <c r="AF167">
        <v>1</v>
      </c>
      <c r="AG167">
        <v>1</v>
      </c>
      <c r="AH167">
        <v>11</v>
      </c>
      <c r="AI167">
        <v>450</v>
      </c>
    </row>
    <row r="168" spans="2:35" x14ac:dyDescent="0.25">
      <c r="B168" t="s">
        <v>263</v>
      </c>
      <c r="C168" s="2">
        <v>138425772168715</v>
      </c>
      <c r="AE168">
        <v>3</v>
      </c>
      <c r="AF168">
        <v>1</v>
      </c>
      <c r="AG168">
        <v>2</v>
      </c>
      <c r="AH168">
        <v>1</v>
      </c>
      <c r="AI168">
        <v>300</v>
      </c>
    </row>
    <row r="169" spans="2:35" x14ac:dyDescent="0.25">
      <c r="B169" t="s">
        <v>264</v>
      </c>
      <c r="C169" s="2">
        <v>121689973222255</v>
      </c>
      <c r="AE169">
        <v>3</v>
      </c>
      <c r="AF169">
        <v>1</v>
      </c>
      <c r="AG169">
        <v>3</v>
      </c>
      <c r="AH169">
        <v>1</v>
      </c>
      <c r="AI169">
        <v>600</v>
      </c>
    </row>
    <row r="170" spans="2:35" x14ac:dyDescent="0.25">
      <c r="B170" t="s">
        <v>265</v>
      </c>
      <c r="C170" s="2">
        <v>586221065607451</v>
      </c>
      <c r="AE170">
        <v>3</v>
      </c>
      <c r="AF170">
        <v>1</v>
      </c>
      <c r="AG170">
        <v>3</v>
      </c>
      <c r="AH170">
        <v>2</v>
      </c>
      <c r="AI170">
        <v>470</v>
      </c>
    </row>
    <row r="171" spans="2:35" x14ac:dyDescent="0.25">
      <c r="B171" t="s">
        <v>266</v>
      </c>
      <c r="C171" s="2">
        <v>933653626172501</v>
      </c>
      <c r="AE171">
        <v>3</v>
      </c>
      <c r="AF171">
        <v>1</v>
      </c>
      <c r="AG171">
        <v>3</v>
      </c>
      <c r="AH171">
        <v>3</v>
      </c>
      <c r="AI171">
        <v>1800</v>
      </c>
    </row>
    <row r="172" spans="2:35" x14ac:dyDescent="0.25">
      <c r="B172" t="s">
        <v>267</v>
      </c>
      <c r="C172" s="2">
        <v>121689973222255</v>
      </c>
      <c r="AE172">
        <v>3</v>
      </c>
      <c r="AF172">
        <v>1</v>
      </c>
      <c r="AG172">
        <v>3</v>
      </c>
      <c r="AH172">
        <v>4</v>
      </c>
      <c r="AI172">
        <v>1200</v>
      </c>
    </row>
    <row r="173" spans="2:35" x14ac:dyDescent="0.25">
      <c r="B173" t="s">
        <v>268</v>
      </c>
      <c r="C173" s="2">
        <v>524585673195453</v>
      </c>
      <c r="AE173">
        <v>3</v>
      </c>
      <c r="AF173">
        <v>1</v>
      </c>
      <c r="AG173">
        <v>3</v>
      </c>
      <c r="AH173">
        <v>5</v>
      </c>
      <c r="AI173">
        <v>940</v>
      </c>
    </row>
    <row r="174" spans="2:35" x14ac:dyDescent="0.25">
      <c r="B174" t="s">
        <v>269</v>
      </c>
      <c r="C174" s="2">
        <v>150900404263139</v>
      </c>
      <c r="AE174">
        <v>3</v>
      </c>
      <c r="AF174">
        <v>1</v>
      </c>
      <c r="AG174">
        <v>3</v>
      </c>
      <c r="AH174">
        <v>7</v>
      </c>
      <c r="AI174">
        <v>900</v>
      </c>
    </row>
    <row r="175" spans="2:35" x14ac:dyDescent="0.25">
      <c r="B175" t="s">
        <v>270</v>
      </c>
      <c r="C175">
        <v>42800</v>
      </c>
      <c r="AE175">
        <v>3</v>
      </c>
      <c r="AF175">
        <v>1</v>
      </c>
      <c r="AG175">
        <v>3</v>
      </c>
      <c r="AH175">
        <v>8</v>
      </c>
      <c r="AI175">
        <v>705</v>
      </c>
    </row>
    <row r="176" spans="2:35" x14ac:dyDescent="0.25">
      <c r="B176" t="s">
        <v>271</v>
      </c>
      <c r="C176" s="2">
        <v>524585673195453</v>
      </c>
      <c r="AE176">
        <v>3</v>
      </c>
      <c r="AF176">
        <v>1</v>
      </c>
      <c r="AG176">
        <v>3</v>
      </c>
      <c r="AH176">
        <v>9</v>
      </c>
      <c r="AI176">
        <v>600</v>
      </c>
    </row>
    <row r="177" spans="2:35" x14ac:dyDescent="0.25">
      <c r="B177" t="s">
        <v>272</v>
      </c>
      <c r="C177" s="2">
        <v>933653626172501</v>
      </c>
      <c r="AE177">
        <v>3</v>
      </c>
      <c r="AF177">
        <v>1</v>
      </c>
      <c r="AG177">
        <v>3</v>
      </c>
      <c r="AH177">
        <v>10</v>
      </c>
      <c r="AI177">
        <v>900</v>
      </c>
    </row>
    <row r="178" spans="2:35" x14ac:dyDescent="0.25">
      <c r="B178" t="s">
        <v>273</v>
      </c>
      <c r="C178" s="2">
        <v>121689973222255</v>
      </c>
      <c r="AE178">
        <v>3</v>
      </c>
      <c r="AF178">
        <v>1</v>
      </c>
      <c r="AG178">
        <v>3</v>
      </c>
      <c r="AH178">
        <v>11</v>
      </c>
      <c r="AI178">
        <v>705</v>
      </c>
    </row>
    <row r="179" spans="2:35" x14ac:dyDescent="0.25">
      <c r="B179" t="s">
        <v>274</v>
      </c>
      <c r="C179" s="2">
        <v>111065461517392</v>
      </c>
      <c r="AE179">
        <v>3</v>
      </c>
      <c r="AF179">
        <v>1</v>
      </c>
      <c r="AG179">
        <v>4</v>
      </c>
      <c r="AH179">
        <v>1</v>
      </c>
      <c r="AI179">
        <v>500</v>
      </c>
    </row>
    <row r="180" spans="2:35" x14ac:dyDescent="0.25">
      <c r="B180" t="s">
        <v>275</v>
      </c>
      <c r="C180" s="2">
        <v>138425772168715</v>
      </c>
      <c r="AE180">
        <v>3</v>
      </c>
      <c r="AF180">
        <v>1</v>
      </c>
      <c r="AG180">
        <v>4</v>
      </c>
      <c r="AH180">
        <v>2</v>
      </c>
      <c r="AI180">
        <v>500</v>
      </c>
    </row>
    <row r="181" spans="2:35" x14ac:dyDescent="0.25">
      <c r="B181" t="s">
        <v>276</v>
      </c>
      <c r="C181" s="2">
        <v>121689973222255</v>
      </c>
      <c r="AE181">
        <v>3</v>
      </c>
      <c r="AF181">
        <v>1</v>
      </c>
      <c r="AG181">
        <v>4</v>
      </c>
      <c r="AH181">
        <v>3</v>
      </c>
      <c r="AI181">
        <v>900</v>
      </c>
    </row>
    <row r="182" spans="2:35" x14ac:dyDescent="0.25">
      <c r="B182" t="s">
        <v>277</v>
      </c>
      <c r="C182" s="2">
        <v>586221065607451</v>
      </c>
      <c r="AE182">
        <v>3</v>
      </c>
      <c r="AF182">
        <v>1</v>
      </c>
      <c r="AG182">
        <v>4</v>
      </c>
      <c r="AH182">
        <v>4</v>
      </c>
      <c r="AI182">
        <v>1000</v>
      </c>
    </row>
    <row r="183" spans="2:35" x14ac:dyDescent="0.25">
      <c r="B183" t="s">
        <v>278</v>
      </c>
      <c r="C183" s="2">
        <v>933653626172501</v>
      </c>
      <c r="AE183">
        <v>3</v>
      </c>
      <c r="AF183">
        <v>1</v>
      </c>
      <c r="AG183">
        <v>4</v>
      </c>
      <c r="AH183">
        <v>5</v>
      </c>
      <c r="AI183">
        <v>1000</v>
      </c>
    </row>
    <row r="184" spans="2:35" x14ac:dyDescent="0.25">
      <c r="B184" t="s">
        <v>279</v>
      </c>
      <c r="C184" s="2">
        <v>121689973222255</v>
      </c>
      <c r="AE184">
        <v>3</v>
      </c>
      <c r="AF184">
        <v>1</v>
      </c>
      <c r="AG184">
        <v>4</v>
      </c>
      <c r="AH184">
        <v>7</v>
      </c>
      <c r="AI184">
        <v>750</v>
      </c>
    </row>
    <row r="185" spans="2:35" x14ac:dyDescent="0.25">
      <c r="B185" t="s">
        <v>280</v>
      </c>
      <c r="C185" s="2">
        <v>524585673195453</v>
      </c>
      <c r="AE185">
        <v>3</v>
      </c>
      <c r="AF185">
        <v>1</v>
      </c>
      <c r="AG185">
        <v>4</v>
      </c>
      <c r="AH185">
        <v>8</v>
      </c>
      <c r="AI185">
        <v>750</v>
      </c>
    </row>
    <row r="186" spans="2:35" x14ac:dyDescent="0.25">
      <c r="B186" t="s">
        <v>281</v>
      </c>
      <c r="C186" s="2">
        <v>150900404263139</v>
      </c>
      <c r="AE186">
        <v>3</v>
      </c>
      <c r="AF186">
        <v>1</v>
      </c>
      <c r="AG186">
        <v>4</v>
      </c>
      <c r="AH186">
        <v>9</v>
      </c>
      <c r="AI186">
        <v>300</v>
      </c>
    </row>
    <row r="187" spans="2:35" x14ac:dyDescent="0.25">
      <c r="B187" t="s">
        <v>282</v>
      </c>
      <c r="C187">
        <v>42800</v>
      </c>
      <c r="AE187">
        <v>3</v>
      </c>
      <c r="AF187">
        <v>1</v>
      </c>
      <c r="AG187">
        <v>4</v>
      </c>
      <c r="AH187">
        <v>10</v>
      </c>
      <c r="AI187">
        <v>750</v>
      </c>
    </row>
    <row r="188" spans="2:35" x14ac:dyDescent="0.25">
      <c r="B188" t="s">
        <v>283</v>
      </c>
      <c r="C188" s="2">
        <v>524585673195453</v>
      </c>
      <c r="AE188">
        <v>3</v>
      </c>
      <c r="AF188">
        <v>1</v>
      </c>
      <c r="AG188">
        <v>4</v>
      </c>
      <c r="AH188">
        <v>11</v>
      </c>
      <c r="AI188">
        <v>750</v>
      </c>
    </row>
    <row r="189" spans="2:35" x14ac:dyDescent="0.25">
      <c r="B189" t="s">
        <v>284</v>
      </c>
      <c r="C189" s="2">
        <v>933653626172501</v>
      </c>
      <c r="AE189">
        <v>3</v>
      </c>
      <c r="AF189">
        <v>1</v>
      </c>
      <c r="AG189">
        <v>5</v>
      </c>
      <c r="AH189">
        <v>1</v>
      </c>
      <c r="AI189">
        <v>200</v>
      </c>
    </row>
    <row r="190" spans="2:35" x14ac:dyDescent="0.25">
      <c r="B190" t="s">
        <v>285</v>
      </c>
      <c r="C190" s="2">
        <v>121689973222255</v>
      </c>
      <c r="AE190">
        <v>3</v>
      </c>
      <c r="AF190">
        <v>1</v>
      </c>
      <c r="AG190">
        <v>6</v>
      </c>
      <c r="AH190">
        <v>1</v>
      </c>
      <c r="AI190">
        <v>340</v>
      </c>
    </row>
    <row r="191" spans="2:35" x14ac:dyDescent="0.25">
      <c r="B191" t="s">
        <v>286</v>
      </c>
      <c r="C191" s="2">
        <v>111065461517392</v>
      </c>
      <c r="AE191">
        <v>3</v>
      </c>
      <c r="AF191">
        <v>1</v>
      </c>
      <c r="AG191">
        <v>7</v>
      </c>
      <c r="AH191">
        <v>1</v>
      </c>
      <c r="AI191">
        <v>600</v>
      </c>
    </row>
    <row r="192" spans="2:35" x14ac:dyDescent="0.25">
      <c r="B192" t="s">
        <v>287</v>
      </c>
      <c r="C192" s="2">
        <v>138425772168715</v>
      </c>
      <c r="AE192">
        <v>3</v>
      </c>
      <c r="AF192">
        <v>1</v>
      </c>
      <c r="AG192">
        <v>8</v>
      </c>
      <c r="AH192">
        <v>1</v>
      </c>
      <c r="AI192">
        <v>300</v>
      </c>
    </row>
    <row r="193" spans="2:35" x14ac:dyDescent="0.25">
      <c r="B193" t="s">
        <v>288</v>
      </c>
      <c r="C193" s="2">
        <v>121689973222255</v>
      </c>
      <c r="AE193">
        <v>3</v>
      </c>
      <c r="AF193">
        <v>1</v>
      </c>
      <c r="AG193">
        <v>8</v>
      </c>
      <c r="AH193">
        <v>2</v>
      </c>
      <c r="AI193">
        <v>1500</v>
      </c>
    </row>
    <row r="194" spans="2:35" x14ac:dyDescent="0.25">
      <c r="B194" t="s">
        <v>289</v>
      </c>
      <c r="C194" s="2">
        <v>586221065607451</v>
      </c>
      <c r="AE194">
        <v>3</v>
      </c>
      <c r="AF194">
        <v>1</v>
      </c>
      <c r="AG194">
        <v>8</v>
      </c>
      <c r="AH194">
        <v>3</v>
      </c>
      <c r="AI194">
        <v>1500</v>
      </c>
    </row>
    <row r="195" spans="2:35" x14ac:dyDescent="0.25">
      <c r="B195" t="s">
        <v>290</v>
      </c>
      <c r="C195" s="2">
        <v>933653626172501</v>
      </c>
      <c r="AE195">
        <v>3</v>
      </c>
      <c r="AF195">
        <v>1</v>
      </c>
      <c r="AG195">
        <v>8</v>
      </c>
      <c r="AH195">
        <v>4</v>
      </c>
      <c r="AI195">
        <v>600</v>
      </c>
    </row>
    <row r="196" spans="2:35" x14ac:dyDescent="0.25">
      <c r="B196" t="s">
        <v>291</v>
      </c>
      <c r="C196" s="2">
        <v>121689973222255</v>
      </c>
      <c r="AE196">
        <v>3</v>
      </c>
      <c r="AF196">
        <v>1</v>
      </c>
      <c r="AG196">
        <v>8</v>
      </c>
      <c r="AH196">
        <v>7</v>
      </c>
      <c r="AI196">
        <v>450</v>
      </c>
    </row>
    <row r="197" spans="2:35" x14ac:dyDescent="0.25">
      <c r="B197" t="s">
        <v>292</v>
      </c>
      <c r="C197" s="2">
        <v>524585673195453</v>
      </c>
      <c r="AE197">
        <v>3</v>
      </c>
      <c r="AF197">
        <v>1</v>
      </c>
      <c r="AG197">
        <v>8</v>
      </c>
      <c r="AH197">
        <v>8</v>
      </c>
      <c r="AI197">
        <v>500</v>
      </c>
    </row>
    <row r="198" spans="2:35" x14ac:dyDescent="0.25">
      <c r="B198" t="s">
        <v>293</v>
      </c>
      <c r="C198" s="2">
        <v>150900404263139</v>
      </c>
      <c r="AE198">
        <v>3</v>
      </c>
      <c r="AF198">
        <v>1</v>
      </c>
      <c r="AG198">
        <v>8</v>
      </c>
      <c r="AH198">
        <v>9</v>
      </c>
      <c r="AI198">
        <v>500</v>
      </c>
    </row>
    <row r="199" spans="2:35" x14ac:dyDescent="0.25">
      <c r="B199" t="s">
        <v>294</v>
      </c>
      <c r="C199">
        <v>42800</v>
      </c>
      <c r="AE199">
        <v>3</v>
      </c>
      <c r="AF199">
        <v>1</v>
      </c>
      <c r="AG199">
        <v>8</v>
      </c>
      <c r="AH199">
        <v>10</v>
      </c>
      <c r="AI199">
        <v>450</v>
      </c>
    </row>
    <row r="200" spans="2:35" x14ac:dyDescent="0.25">
      <c r="B200" t="s">
        <v>295</v>
      </c>
      <c r="C200" s="2">
        <v>524585673195453</v>
      </c>
      <c r="AE200">
        <v>3</v>
      </c>
      <c r="AF200">
        <v>2</v>
      </c>
      <c r="AG200">
        <v>2</v>
      </c>
      <c r="AH200">
        <v>2</v>
      </c>
      <c r="AI200">
        <v>500</v>
      </c>
    </row>
    <row r="201" spans="2:35" x14ac:dyDescent="0.25">
      <c r="B201" t="s">
        <v>296</v>
      </c>
      <c r="C201" s="2">
        <v>933653626172501</v>
      </c>
      <c r="AE201">
        <v>3</v>
      </c>
      <c r="AF201">
        <v>2</v>
      </c>
      <c r="AG201">
        <v>2</v>
      </c>
      <c r="AH201">
        <v>3</v>
      </c>
      <c r="AI201">
        <v>1020</v>
      </c>
    </row>
    <row r="202" spans="2:35" x14ac:dyDescent="0.25">
      <c r="B202" t="s">
        <v>297</v>
      </c>
      <c r="C202" s="2">
        <v>121689973222255</v>
      </c>
      <c r="AE202">
        <v>3</v>
      </c>
      <c r="AF202">
        <v>2</v>
      </c>
      <c r="AG202">
        <v>2</v>
      </c>
      <c r="AH202">
        <v>4</v>
      </c>
      <c r="AI202">
        <v>600</v>
      </c>
    </row>
    <row r="203" spans="2:35" x14ac:dyDescent="0.25">
      <c r="B203" t="s">
        <v>298</v>
      </c>
      <c r="C203" s="2">
        <v>111065461517392</v>
      </c>
      <c r="AE203">
        <v>3</v>
      </c>
      <c r="AF203">
        <v>2</v>
      </c>
      <c r="AG203">
        <v>2</v>
      </c>
      <c r="AH203">
        <v>5</v>
      </c>
      <c r="AI203">
        <v>1000</v>
      </c>
    </row>
    <row r="204" spans="2:35" x14ac:dyDescent="0.25">
      <c r="B204" t="s">
        <v>299</v>
      </c>
      <c r="C204" s="2">
        <v>138425772168715</v>
      </c>
      <c r="AE204">
        <v>3</v>
      </c>
      <c r="AF204">
        <v>2</v>
      </c>
      <c r="AG204">
        <v>2</v>
      </c>
      <c r="AH204">
        <v>7</v>
      </c>
      <c r="AI204">
        <v>450</v>
      </c>
    </row>
    <row r="205" spans="2:35" x14ac:dyDescent="0.25">
      <c r="B205" t="s">
        <v>300</v>
      </c>
      <c r="C205" s="2">
        <v>121689973222255</v>
      </c>
      <c r="AE205">
        <v>3</v>
      </c>
      <c r="AF205">
        <v>2</v>
      </c>
      <c r="AG205">
        <v>2</v>
      </c>
      <c r="AH205">
        <v>8</v>
      </c>
      <c r="AI205">
        <v>750</v>
      </c>
    </row>
    <row r="206" spans="2:35" x14ac:dyDescent="0.25">
      <c r="B206" t="s">
        <v>301</v>
      </c>
      <c r="C206" s="2">
        <v>586221065607451</v>
      </c>
      <c r="AE206">
        <v>3</v>
      </c>
      <c r="AF206">
        <v>2</v>
      </c>
      <c r="AG206">
        <v>2</v>
      </c>
      <c r="AH206">
        <v>9</v>
      </c>
      <c r="AI206">
        <v>340</v>
      </c>
    </row>
    <row r="207" spans="2:35" x14ac:dyDescent="0.25">
      <c r="B207" t="s">
        <v>302</v>
      </c>
      <c r="C207" s="2">
        <v>933653626172501</v>
      </c>
      <c r="AE207">
        <v>3</v>
      </c>
      <c r="AF207">
        <v>2</v>
      </c>
      <c r="AG207">
        <v>2</v>
      </c>
      <c r="AH207">
        <v>10</v>
      </c>
      <c r="AI207">
        <v>450</v>
      </c>
    </row>
    <row r="208" spans="2:35" x14ac:dyDescent="0.25">
      <c r="B208" t="s">
        <v>303</v>
      </c>
      <c r="C208" s="2">
        <v>121689973222255</v>
      </c>
      <c r="AE208">
        <v>3</v>
      </c>
      <c r="AF208">
        <v>2</v>
      </c>
      <c r="AG208">
        <v>2</v>
      </c>
      <c r="AH208">
        <v>11</v>
      </c>
      <c r="AI208">
        <v>750</v>
      </c>
    </row>
    <row r="209" spans="2:35" x14ac:dyDescent="0.25">
      <c r="B209" t="s">
        <v>304</v>
      </c>
      <c r="C209" s="2">
        <v>524585673195453</v>
      </c>
      <c r="AE209">
        <v>3</v>
      </c>
      <c r="AF209">
        <v>2</v>
      </c>
      <c r="AG209">
        <v>5</v>
      </c>
      <c r="AH209">
        <v>2</v>
      </c>
      <c r="AI209">
        <v>300</v>
      </c>
    </row>
    <row r="210" spans="2:35" x14ac:dyDescent="0.25">
      <c r="B210" t="s">
        <v>305</v>
      </c>
      <c r="C210" s="2">
        <v>150900404263139</v>
      </c>
      <c r="AE210">
        <v>3</v>
      </c>
      <c r="AF210">
        <v>2</v>
      </c>
      <c r="AG210">
        <v>5</v>
      </c>
      <c r="AH210">
        <v>3</v>
      </c>
      <c r="AI210">
        <v>900</v>
      </c>
    </row>
    <row r="211" spans="2:35" x14ac:dyDescent="0.25">
      <c r="B211" t="s">
        <v>306</v>
      </c>
      <c r="C211">
        <v>42800</v>
      </c>
      <c r="AE211">
        <v>3</v>
      </c>
      <c r="AF211">
        <v>2</v>
      </c>
      <c r="AG211">
        <v>5</v>
      </c>
      <c r="AH211">
        <v>4</v>
      </c>
      <c r="AI211">
        <v>400</v>
      </c>
    </row>
    <row r="212" spans="2:35" x14ac:dyDescent="0.25">
      <c r="B212" t="s">
        <v>307</v>
      </c>
      <c r="C212" s="2">
        <v>524585673195453</v>
      </c>
      <c r="AE212">
        <v>3</v>
      </c>
      <c r="AF212">
        <v>2</v>
      </c>
      <c r="AG212">
        <v>5</v>
      </c>
      <c r="AH212">
        <v>7</v>
      </c>
      <c r="AI212">
        <v>300</v>
      </c>
    </row>
    <row r="213" spans="2:35" x14ac:dyDescent="0.25">
      <c r="B213" t="s">
        <v>308</v>
      </c>
      <c r="C213" s="2">
        <v>933653626172501</v>
      </c>
      <c r="AE213">
        <v>3</v>
      </c>
      <c r="AF213">
        <v>2</v>
      </c>
      <c r="AG213">
        <v>5</v>
      </c>
      <c r="AH213">
        <v>8</v>
      </c>
      <c r="AI213">
        <v>100</v>
      </c>
    </row>
    <row r="214" spans="2:35" x14ac:dyDescent="0.25">
      <c r="B214" t="s">
        <v>309</v>
      </c>
      <c r="C214" s="2">
        <v>121689973222255</v>
      </c>
      <c r="AE214">
        <v>3</v>
      </c>
      <c r="AF214">
        <v>2</v>
      </c>
      <c r="AG214">
        <v>5</v>
      </c>
      <c r="AH214">
        <v>9</v>
      </c>
      <c r="AI214">
        <v>300</v>
      </c>
    </row>
    <row r="215" spans="2:35" x14ac:dyDescent="0.25">
      <c r="B215" t="s">
        <v>310</v>
      </c>
      <c r="C215" s="2">
        <v>111065461517392</v>
      </c>
      <c r="AE215">
        <v>3</v>
      </c>
      <c r="AF215">
        <v>2</v>
      </c>
      <c r="AG215">
        <v>5</v>
      </c>
      <c r="AH215">
        <v>10</v>
      </c>
      <c r="AI215">
        <v>300</v>
      </c>
    </row>
    <row r="216" spans="2:35" x14ac:dyDescent="0.25">
      <c r="B216" t="s">
        <v>311</v>
      </c>
      <c r="C216" s="2">
        <v>138425772168715</v>
      </c>
      <c r="AE216">
        <v>3</v>
      </c>
      <c r="AF216">
        <v>2</v>
      </c>
      <c r="AG216">
        <v>6</v>
      </c>
      <c r="AH216">
        <v>2</v>
      </c>
      <c r="AI216">
        <v>900</v>
      </c>
    </row>
    <row r="217" spans="2:35" x14ac:dyDescent="0.25">
      <c r="B217" t="s">
        <v>312</v>
      </c>
      <c r="C217" s="2">
        <v>121689973222255</v>
      </c>
      <c r="AE217">
        <v>3</v>
      </c>
      <c r="AF217">
        <v>2</v>
      </c>
      <c r="AG217">
        <v>6</v>
      </c>
      <c r="AH217">
        <v>3</v>
      </c>
      <c r="AI217">
        <v>1500</v>
      </c>
    </row>
    <row r="218" spans="2:35" x14ac:dyDescent="0.25">
      <c r="B218" t="s">
        <v>313</v>
      </c>
      <c r="C218" s="2">
        <v>686207368853582</v>
      </c>
      <c r="AE218">
        <v>3</v>
      </c>
      <c r="AF218">
        <v>2</v>
      </c>
      <c r="AG218">
        <v>6</v>
      </c>
      <c r="AH218">
        <v>4</v>
      </c>
      <c r="AI218">
        <v>680</v>
      </c>
    </row>
    <row r="219" spans="2:35" x14ac:dyDescent="0.25">
      <c r="B219" t="s">
        <v>314</v>
      </c>
      <c r="C219" s="2">
        <v>109174102036147</v>
      </c>
      <c r="AE219">
        <v>3</v>
      </c>
      <c r="AF219">
        <v>2</v>
      </c>
      <c r="AG219">
        <v>6</v>
      </c>
      <c r="AH219">
        <v>7</v>
      </c>
      <c r="AI219">
        <v>510</v>
      </c>
    </row>
    <row r="220" spans="2:35" x14ac:dyDescent="0.25">
      <c r="B220" t="s">
        <v>315</v>
      </c>
      <c r="C220" s="2">
        <v>144718833680452</v>
      </c>
      <c r="AE220">
        <v>3</v>
      </c>
      <c r="AF220">
        <v>2</v>
      </c>
      <c r="AG220">
        <v>6</v>
      </c>
      <c r="AH220">
        <v>8</v>
      </c>
      <c r="AI220">
        <v>300</v>
      </c>
    </row>
    <row r="221" spans="2:35" x14ac:dyDescent="0.25">
      <c r="B221" t="s">
        <v>316</v>
      </c>
      <c r="C221" s="2">
        <v>647856458019449</v>
      </c>
      <c r="AE221">
        <v>3</v>
      </c>
      <c r="AF221">
        <v>2</v>
      </c>
      <c r="AG221">
        <v>6</v>
      </c>
      <c r="AH221">
        <v>9</v>
      </c>
      <c r="AI221">
        <v>500</v>
      </c>
    </row>
    <row r="222" spans="2:35" x14ac:dyDescent="0.25">
      <c r="B222" t="s">
        <v>317</v>
      </c>
      <c r="C222" s="2">
        <v>180521866960676</v>
      </c>
      <c r="AE222">
        <v>3</v>
      </c>
      <c r="AF222">
        <v>2</v>
      </c>
      <c r="AG222">
        <v>6</v>
      </c>
      <c r="AH222">
        <v>10</v>
      </c>
      <c r="AI222">
        <v>510</v>
      </c>
    </row>
    <row r="223" spans="2:35" x14ac:dyDescent="0.25">
      <c r="B223" t="s">
        <v>318</v>
      </c>
      <c r="C223">
        <v>50100</v>
      </c>
      <c r="AE223">
        <v>3</v>
      </c>
      <c r="AF223">
        <v>2</v>
      </c>
      <c r="AG223">
        <v>7</v>
      </c>
      <c r="AH223">
        <v>2</v>
      </c>
      <c r="AI223">
        <v>1800</v>
      </c>
    </row>
    <row r="224" spans="2:35" x14ac:dyDescent="0.25">
      <c r="B224" t="s">
        <v>319</v>
      </c>
      <c r="C224" s="2">
        <v>647856458019449</v>
      </c>
      <c r="AE224">
        <v>3</v>
      </c>
      <c r="AF224">
        <v>2</v>
      </c>
      <c r="AG224">
        <v>7</v>
      </c>
      <c r="AH224">
        <v>3</v>
      </c>
      <c r="AI224">
        <v>1410</v>
      </c>
    </row>
    <row r="225" spans="2:35" x14ac:dyDescent="0.25">
      <c r="B225" t="s">
        <v>320</v>
      </c>
      <c r="C225" s="2">
        <v>109174102036147</v>
      </c>
      <c r="AE225">
        <v>3</v>
      </c>
      <c r="AF225">
        <v>2</v>
      </c>
      <c r="AG225">
        <v>7</v>
      </c>
      <c r="AH225">
        <v>4</v>
      </c>
      <c r="AI225">
        <v>1200</v>
      </c>
    </row>
    <row r="226" spans="2:35" x14ac:dyDescent="0.25">
      <c r="B226" t="s">
        <v>321</v>
      </c>
      <c r="C226" s="2">
        <v>144718833680452</v>
      </c>
      <c r="AE226">
        <v>3</v>
      </c>
      <c r="AF226">
        <v>2</v>
      </c>
      <c r="AG226">
        <v>7</v>
      </c>
      <c r="AH226">
        <v>7</v>
      </c>
      <c r="AI226">
        <v>900</v>
      </c>
    </row>
    <row r="227" spans="2:35" x14ac:dyDescent="0.25">
      <c r="B227" t="s">
        <v>322</v>
      </c>
      <c r="C227" s="2">
        <v>133388112845796</v>
      </c>
      <c r="AE227">
        <v>3</v>
      </c>
      <c r="AF227">
        <v>2</v>
      </c>
      <c r="AG227">
        <v>7</v>
      </c>
      <c r="AH227">
        <v>8</v>
      </c>
      <c r="AI227">
        <v>600</v>
      </c>
    </row>
    <row r="228" spans="2:35" x14ac:dyDescent="0.25">
      <c r="B228" t="s">
        <v>323</v>
      </c>
      <c r="C228" s="2">
        <v>160112919295915</v>
      </c>
      <c r="AE228">
        <v>3</v>
      </c>
      <c r="AF228">
        <v>2</v>
      </c>
      <c r="AG228">
        <v>7</v>
      </c>
      <c r="AH228">
        <v>9</v>
      </c>
      <c r="AI228">
        <v>470</v>
      </c>
    </row>
    <row r="229" spans="2:35" x14ac:dyDescent="0.25">
      <c r="B229" t="s">
        <v>324</v>
      </c>
      <c r="C229" s="2">
        <v>144718833680452</v>
      </c>
      <c r="AE229">
        <v>3</v>
      </c>
      <c r="AF229">
        <v>2</v>
      </c>
      <c r="AG229">
        <v>7</v>
      </c>
      <c r="AH229">
        <v>10</v>
      </c>
      <c r="AI229">
        <v>900</v>
      </c>
    </row>
    <row r="230" spans="2:35" x14ac:dyDescent="0.25">
      <c r="B230" t="s">
        <v>325</v>
      </c>
      <c r="C230" s="2">
        <v>686207368853582</v>
      </c>
      <c r="AE230">
        <v>4</v>
      </c>
      <c r="AF230">
        <v>1</v>
      </c>
      <c r="AG230">
        <v>1</v>
      </c>
      <c r="AH230">
        <v>1</v>
      </c>
      <c r="AI230">
        <v>300</v>
      </c>
    </row>
    <row r="231" spans="2:35" x14ac:dyDescent="0.25">
      <c r="B231" t="s">
        <v>326</v>
      </c>
      <c r="C231" s="2">
        <v>109174102036147</v>
      </c>
      <c r="AE231">
        <v>4</v>
      </c>
      <c r="AF231">
        <v>1</v>
      </c>
      <c r="AG231">
        <v>1</v>
      </c>
      <c r="AH231">
        <v>2</v>
      </c>
      <c r="AI231">
        <v>250</v>
      </c>
    </row>
    <row r="232" spans="2:35" x14ac:dyDescent="0.25">
      <c r="B232" t="s">
        <v>327</v>
      </c>
      <c r="C232" s="2">
        <v>144718833680452</v>
      </c>
      <c r="AE232">
        <v>4</v>
      </c>
      <c r="AF232">
        <v>1</v>
      </c>
      <c r="AG232">
        <v>1</v>
      </c>
      <c r="AH232">
        <v>3</v>
      </c>
      <c r="AI232">
        <v>1400</v>
      </c>
    </row>
    <row r="233" spans="2:35" x14ac:dyDescent="0.25">
      <c r="B233" t="s">
        <v>328</v>
      </c>
      <c r="C233" s="2">
        <v>647856458019449</v>
      </c>
      <c r="AE233">
        <v>4</v>
      </c>
      <c r="AF233">
        <v>1</v>
      </c>
      <c r="AG233">
        <v>1</v>
      </c>
      <c r="AH233">
        <v>4</v>
      </c>
      <c r="AI233">
        <v>300</v>
      </c>
    </row>
    <row r="234" spans="2:35" x14ac:dyDescent="0.25">
      <c r="B234" t="s">
        <v>329</v>
      </c>
      <c r="C234" s="2">
        <v>180521866960676</v>
      </c>
      <c r="AE234">
        <v>4</v>
      </c>
      <c r="AF234">
        <v>1</v>
      </c>
      <c r="AG234">
        <v>1</v>
      </c>
      <c r="AH234">
        <v>5</v>
      </c>
      <c r="AI234">
        <v>250</v>
      </c>
    </row>
    <row r="235" spans="2:35" x14ac:dyDescent="0.25">
      <c r="B235" t="s">
        <v>330</v>
      </c>
      <c r="C235">
        <v>50100</v>
      </c>
      <c r="AE235">
        <v>4</v>
      </c>
      <c r="AF235">
        <v>1</v>
      </c>
      <c r="AG235">
        <v>1</v>
      </c>
      <c r="AH235">
        <v>6</v>
      </c>
      <c r="AI235">
        <v>700</v>
      </c>
    </row>
    <row r="236" spans="2:35" x14ac:dyDescent="0.25">
      <c r="B236" t="s">
        <v>331</v>
      </c>
      <c r="C236" s="2">
        <v>647856458019449</v>
      </c>
      <c r="AE236">
        <v>4</v>
      </c>
      <c r="AF236">
        <v>1</v>
      </c>
      <c r="AG236">
        <v>1</v>
      </c>
      <c r="AH236">
        <v>7</v>
      </c>
      <c r="AI236">
        <v>300</v>
      </c>
    </row>
    <row r="237" spans="2:35" x14ac:dyDescent="0.25">
      <c r="B237" t="s">
        <v>332</v>
      </c>
      <c r="C237" s="2">
        <v>109174102036147</v>
      </c>
      <c r="AE237">
        <v>4</v>
      </c>
      <c r="AF237">
        <v>1</v>
      </c>
      <c r="AG237">
        <v>1</v>
      </c>
      <c r="AH237">
        <v>8</v>
      </c>
      <c r="AI237">
        <v>250</v>
      </c>
    </row>
    <row r="238" spans="2:35" x14ac:dyDescent="0.25">
      <c r="B238" t="s">
        <v>333</v>
      </c>
      <c r="C238" s="2">
        <v>144718833680452</v>
      </c>
      <c r="AE238">
        <v>4</v>
      </c>
      <c r="AF238">
        <v>1</v>
      </c>
      <c r="AG238">
        <v>1</v>
      </c>
      <c r="AH238">
        <v>9</v>
      </c>
      <c r="AI238">
        <v>1400</v>
      </c>
    </row>
    <row r="239" spans="2:35" x14ac:dyDescent="0.25">
      <c r="B239" t="s">
        <v>334</v>
      </c>
      <c r="C239" s="2">
        <v>133388112845796</v>
      </c>
      <c r="AE239">
        <v>4</v>
      </c>
      <c r="AF239">
        <v>1</v>
      </c>
      <c r="AG239">
        <v>1</v>
      </c>
      <c r="AH239">
        <v>10</v>
      </c>
      <c r="AI239">
        <v>300</v>
      </c>
    </row>
    <row r="240" spans="2:35" x14ac:dyDescent="0.25">
      <c r="B240" t="s">
        <v>335</v>
      </c>
      <c r="C240" s="2">
        <v>160112919295915</v>
      </c>
      <c r="AE240">
        <v>4</v>
      </c>
      <c r="AF240">
        <v>1</v>
      </c>
      <c r="AG240">
        <v>1</v>
      </c>
      <c r="AH240">
        <v>11</v>
      </c>
      <c r="AI240">
        <v>250</v>
      </c>
    </row>
    <row r="241" spans="2:35" x14ac:dyDescent="0.25">
      <c r="B241" t="s">
        <v>336</v>
      </c>
      <c r="C241" s="2">
        <v>144718833680452</v>
      </c>
      <c r="AE241">
        <v>4</v>
      </c>
      <c r="AF241">
        <v>1</v>
      </c>
      <c r="AG241">
        <v>1</v>
      </c>
      <c r="AH241">
        <v>12</v>
      </c>
      <c r="AI241">
        <v>700</v>
      </c>
    </row>
    <row r="242" spans="2:35" x14ac:dyDescent="0.25">
      <c r="B242" t="s">
        <v>337</v>
      </c>
      <c r="C242" s="2">
        <v>686207368853582</v>
      </c>
      <c r="AE242">
        <v>4</v>
      </c>
      <c r="AF242">
        <v>1</v>
      </c>
      <c r="AG242">
        <v>2</v>
      </c>
      <c r="AH242">
        <v>1</v>
      </c>
      <c r="AI242">
        <v>210</v>
      </c>
    </row>
    <row r="243" spans="2:35" x14ac:dyDescent="0.25">
      <c r="B243" t="s">
        <v>338</v>
      </c>
      <c r="C243" s="2">
        <v>109174102036147</v>
      </c>
      <c r="AE243">
        <v>4</v>
      </c>
      <c r="AF243">
        <v>1</v>
      </c>
      <c r="AG243">
        <v>3</v>
      </c>
      <c r="AH243">
        <v>1</v>
      </c>
      <c r="AI243">
        <v>300</v>
      </c>
    </row>
    <row r="244" spans="2:35" x14ac:dyDescent="0.25">
      <c r="B244" t="s">
        <v>339</v>
      </c>
      <c r="C244" s="2">
        <v>144718833680452</v>
      </c>
      <c r="AE244">
        <v>4</v>
      </c>
      <c r="AF244">
        <v>1</v>
      </c>
      <c r="AG244">
        <v>3</v>
      </c>
      <c r="AH244">
        <v>2</v>
      </c>
      <c r="AI244">
        <v>300</v>
      </c>
    </row>
    <row r="245" spans="2:35" x14ac:dyDescent="0.25">
      <c r="B245" t="s">
        <v>340</v>
      </c>
      <c r="C245" s="2">
        <v>647856458019449</v>
      </c>
      <c r="AE245">
        <v>4</v>
      </c>
      <c r="AF245">
        <v>1</v>
      </c>
      <c r="AG245">
        <v>3</v>
      </c>
      <c r="AH245">
        <v>3</v>
      </c>
      <c r="AI245">
        <v>260</v>
      </c>
    </row>
    <row r="246" spans="2:35" x14ac:dyDescent="0.25">
      <c r="B246" t="s">
        <v>341</v>
      </c>
      <c r="C246" s="2">
        <v>180521866960676</v>
      </c>
      <c r="AE246">
        <v>4</v>
      </c>
      <c r="AF246">
        <v>1</v>
      </c>
      <c r="AG246">
        <v>3</v>
      </c>
      <c r="AH246">
        <v>4</v>
      </c>
      <c r="AI246">
        <v>300</v>
      </c>
    </row>
    <row r="247" spans="2:35" x14ac:dyDescent="0.25">
      <c r="B247" t="s">
        <v>342</v>
      </c>
      <c r="C247">
        <v>50100</v>
      </c>
      <c r="AE247">
        <v>4</v>
      </c>
      <c r="AF247">
        <v>1</v>
      </c>
      <c r="AG247">
        <v>3</v>
      </c>
      <c r="AH247">
        <v>5</v>
      </c>
      <c r="AI247">
        <v>300</v>
      </c>
    </row>
    <row r="248" spans="2:35" x14ac:dyDescent="0.25">
      <c r="B248" t="s">
        <v>343</v>
      </c>
      <c r="C248" s="2">
        <v>647856458019449</v>
      </c>
      <c r="AE248">
        <v>4</v>
      </c>
      <c r="AF248">
        <v>1</v>
      </c>
      <c r="AG248">
        <v>3</v>
      </c>
      <c r="AH248">
        <v>6</v>
      </c>
      <c r="AI248">
        <v>130</v>
      </c>
    </row>
    <row r="249" spans="2:35" x14ac:dyDescent="0.25">
      <c r="B249" t="s">
        <v>344</v>
      </c>
      <c r="C249" s="2">
        <v>109174102036147</v>
      </c>
      <c r="AE249">
        <v>4</v>
      </c>
      <c r="AF249">
        <v>1</v>
      </c>
      <c r="AG249">
        <v>3</v>
      </c>
      <c r="AH249">
        <v>7</v>
      </c>
      <c r="AI249">
        <v>300</v>
      </c>
    </row>
    <row r="250" spans="2:35" x14ac:dyDescent="0.25">
      <c r="B250" t="s">
        <v>345</v>
      </c>
      <c r="C250" s="2">
        <v>144718833680452</v>
      </c>
      <c r="AE250">
        <v>4</v>
      </c>
      <c r="AF250">
        <v>1</v>
      </c>
      <c r="AG250">
        <v>3</v>
      </c>
      <c r="AH250">
        <v>8</v>
      </c>
      <c r="AI250">
        <v>300</v>
      </c>
    </row>
    <row r="251" spans="2:35" x14ac:dyDescent="0.25">
      <c r="B251" t="s">
        <v>346</v>
      </c>
      <c r="C251" s="2">
        <v>133388112845796</v>
      </c>
      <c r="AE251">
        <v>4</v>
      </c>
      <c r="AF251">
        <v>1</v>
      </c>
      <c r="AG251">
        <v>3</v>
      </c>
      <c r="AH251">
        <v>9</v>
      </c>
      <c r="AI251">
        <v>260</v>
      </c>
    </row>
    <row r="252" spans="2:35" x14ac:dyDescent="0.25">
      <c r="B252" t="s">
        <v>347</v>
      </c>
      <c r="C252" s="2">
        <v>160112919295915</v>
      </c>
      <c r="AE252">
        <v>4</v>
      </c>
      <c r="AF252">
        <v>1</v>
      </c>
      <c r="AG252">
        <v>3</v>
      </c>
      <c r="AH252">
        <v>10</v>
      </c>
      <c r="AI252">
        <v>300</v>
      </c>
    </row>
    <row r="253" spans="2:35" x14ac:dyDescent="0.25">
      <c r="B253" t="s">
        <v>348</v>
      </c>
      <c r="C253" s="2">
        <v>144718833680452</v>
      </c>
      <c r="AE253">
        <v>4</v>
      </c>
      <c r="AF253">
        <v>1</v>
      </c>
      <c r="AG253">
        <v>3</v>
      </c>
      <c r="AH253">
        <v>11</v>
      </c>
      <c r="AI253">
        <v>300</v>
      </c>
    </row>
    <row r="254" spans="2:35" x14ac:dyDescent="0.25">
      <c r="B254" t="s">
        <v>349</v>
      </c>
      <c r="C254" s="2">
        <v>686207368853582</v>
      </c>
      <c r="AE254">
        <v>4</v>
      </c>
      <c r="AF254">
        <v>1</v>
      </c>
      <c r="AG254">
        <v>3</v>
      </c>
      <c r="AH254">
        <v>12</v>
      </c>
      <c r="AI254">
        <v>130</v>
      </c>
    </row>
    <row r="255" spans="2:35" x14ac:dyDescent="0.25">
      <c r="B255" t="s">
        <v>350</v>
      </c>
      <c r="C255" s="2">
        <v>109174102036147</v>
      </c>
      <c r="AE255">
        <v>4</v>
      </c>
      <c r="AF255">
        <v>1</v>
      </c>
      <c r="AG255">
        <v>4</v>
      </c>
      <c r="AH255">
        <v>1</v>
      </c>
      <c r="AI255">
        <v>370</v>
      </c>
    </row>
    <row r="256" spans="2:35" x14ac:dyDescent="0.25">
      <c r="B256" t="s">
        <v>351</v>
      </c>
      <c r="C256" s="2">
        <v>144718833680452</v>
      </c>
      <c r="AE256">
        <v>4</v>
      </c>
      <c r="AF256">
        <v>1</v>
      </c>
      <c r="AG256">
        <v>4</v>
      </c>
      <c r="AH256">
        <v>2</v>
      </c>
      <c r="AI256">
        <v>100</v>
      </c>
    </row>
    <row r="257" spans="2:35" x14ac:dyDescent="0.25">
      <c r="B257" t="s">
        <v>352</v>
      </c>
      <c r="C257" s="2">
        <v>647856458019449</v>
      </c>
      <c r="AE257">
        <v>4</v>
      </c>
      <c r="AF257">
        <v>1</v>
      </c>
      <c r="AG257">
        <v>4</v>
      </c>
      <c r="AH257">
        <v>3</v>
      </c>
      <c r="AI257">
        <v>800</v>
      </c>
    </row>
    <row r="258" spans="2:35" x14ac:dyDescent="0.25">
      <c r="B258" t="s">
        <v>353</v>
      </c>
      <c r="C258" s="2">
        <v>180521866960676</v>
      </c>
      <c r="AE258">
        <v>4</v>
      </c>
      <c r="AF258">
        <v>1</v>
      </c>
      <c r="AG258">
        <v>4</v>
      </c>
      <c r="AH258">
        <v>4</v>
      </c>
      <c r="AI258">
        <v>370</v>
      </c>
    </row>
    <row r="259" spans="2:35" x14ac:dyDescent="0.25">
      <c r="B259" t="s">
        <v>354</v>
      </c>
      <c r="C259">
        <v>50100</v>
      </c>
      <c r="AE259">
        <v>4</v>
      </c>
      <c r="AF259">
        <v>1</v>
      </c>
      <c r="AG259">
        <v>4</v>
      </c>
      <c r="AH259">
        <v>5</v>
      </c>
      <c r="AI259">
        <v>100</v>
      </c>
    </row>
    <row r="260" spans="2:35" x14ac:dyDescent="0.25">
      <c r="B260" t="s">
        <v>355</v>
      </c>
      <c r="C260" s="2">
        <v>647856458019449</v>
      </c>
      <c r="AE260">
        <v>4</v>
      </c>
      <c r="AF260">
        <v>1</v>
      </c>
      <c r="AG260">
        <v>4</v>
      </c>
      <c r="AH260">
        <v>6</v>
      </c>
      <c r="AI260">
        <v>400</v>
      </c>
    </row>
    <row r="261" spans="2:35" x14ac:dyDescent="0.25">
      <c r="B261" t="s">
        <v>356</v>
      </c>
      <c r="C261" s="2">
        <v>109174102036147</v>
      </c>
      <c r="AE261">
        <v>4</v>
      </c>
      <c r="AF261">
        <v>1</v>
      </c>
      <c r="AG261">
        <v>4</v>
      </c>
      <c r="AH261">
        <v>7</v>
      </c>
      <c r="AI261">
        <v>370</v>
      </c>
    </row>
    <row r="262" spans="2:35" x14ac:dyDescent="0.25">
      <c r="B262" t="s">
        <v>357</v>
      </c>
      <c r="C262" s="2">
        <v>144718833680452</v>
      </c>
      <c r="AE262">
        <v>4</v>
      </c>
      <c r="AF262">
        <v>1</v>
      </c>
      <c r="AG262">
        <v>4</v>
      </c>
      <c r="AH262">
        <v>8</v>
      </c>
      <c r="AI262">
        <v>100</v>
      </c>
    </row>
    <row r="263" spans="2:35" x14ac:dyDescent="0.25">
      <c r="B263" t="s">
        <v>358</v>
      </c>
      <c r="C263" s="2">
        <v>133388112845796</v>
      </c>
      <c r="AE263">
        <v>4</v>
      </c>
      <c r="AF263">
        <v>1</v>
      </c>
      <c r="AG263">
        <v>4</v>
      </c>
      <c r="AH263">
        <v>9</v>
      </c>
      <c r="AI263">
        <v>800</v>
      </c>
    </row>
    <row r="264" spans="2:35" x14ac:dyDescent="0.25">
      <c r="B264" t="s">
        <v>359</v>
      </c>
      <c r="C264" s="2">
        <v>160112919295915</v>
      </c>
      <c r="AE264">
        <v>4</v>
      </c>
      <c r="AF264">
        <v>1</v>
      </c>
      <c r="AG264">
        <v>4</v>
      </c>
      <c r="AH264">
        <v>10</v>
      </c>
      <c r="AI264">
        <v>370</v>
      </c>
    </row>
    <row r="265" spans="2:35" x14ac:dyDescent="0.25">
      <c r="B265" t="s">
        <v>360</v>
      </c>
      <c r="C265" s="2">
        <v>144718833680452</v>
      </c>
      <c r="AE265">
        <v>4</v>
      </c>
      <c r="AF265">
        <v>1</v>
      </c>
      <c r="AG265">
        <v>4</v>
      </c>
      <c r="AH265">
        <v>11</v>
      </c>
      <c r="AI265">
        <v>100</v>
      </c>
    </row>
    <row r="266" spans="2:35" x14ac:dyDescent="0.25">
      <c r="B266" t="s">
        <v>361</v>
      </c>
      <c r="C266" s="2">
        <v>686207368853582</v>
      </c>
      <c r="AE266">
        <v>4</v>
      </c>
      <c r="AF266">
        <v>1</v>
      </c>
      <c r="AG266">
        <v>4</v>
      </c>
      <c r="AH266">
        <v>12</v>
      </c>
      <c r="AI266">
        <v>400</v>
      </c>
    </row>
    <row r="267" spans="2:35" x14ac:dyDescent="0.25">
      <c r="B267" t="s">
        <v>362</v>
      </c>
      <c r="C267" s="2">
        <v>109174102036147</v>
      </c>
      <c r="AE267">
        <v>4</v>
      </c>
      <c r="AF267">
        <v>1</v>
      </c>
      <c r="AG267">
        <v>5</v>
      </c>
      <c r="AH267">
        <v>1</v>
      </c>
      <c r="AI267">
        <v>700</v>
      </c>
    </row>
    <row r="268" spans="2:35" x14ac:dyDescent="0.25">
      <c r="B268" t="s">
        <v>363</v>
      </c>
      <c r="C268" s="2">
        <v>144718833680452</v>
      </c>
      <c r="AE268">
        <v>4</v>
      </c>
      <c r="AF268">
        <v>1</v>
      </c>
      <c r="AG268">
        <v>6</v>
      </c>
      <c r="AH268">
        <v>1</v>
      </c>
      <c r="AI268">
        <v>300</v>
      </c>
    </row>
    <row r="269" spans="2:35" x14ac:dyDescent="0.25">
      <c r="B269" t="s">
        <v>364</v>
      </c>
      <c r="C269" s="2">
        <v>647856458019449</v>
      </c>
      <c r="AE269">
        <v>4</v>
      </c>
      <c r="AF269">
        <v>1</v>
      </c>
      <c r="AG269">
        <v>6</v>
      </c>
      <c r="AH269">
        <v>2</v>
      </c>
      <c r="AI269">
        <v>420</v>
      </c>
    </row>
    <row r="270" spans="2:35" x14ac:dyDescent="0.25">
      <c r="B270" t="s">
        <v>365</v>
      </c>
      <c r="C270" s="2">
        <v>180521866960676</v>
      </c>
      <c r="AE270">
        <v>4</v>
      </c>
      <c r="AF270">
        <v>1</v>
      </c>
      <c r="AG270">
        <v>6</v>
      </c>
      <c r="AH270">
        <v>3</v>
      </c>
      <c r="AI270">
        <v>620</v>
      </c>
    </row>
    <row r="271" spans="2:35" x14ac:dyDescent="0.25">
      <c r="B271" t="s">
        <v>366</v>
      </c>
      <c r="C271">
        <v>50100</v>
      </c>
      <c r="AE271">
        <v>4</v>
      </c>
      <c r="AF271">
        <v>1</v>
      </c>
      <c r="AG271">
        <v>6</v>
      </c>
      <c r="AH271">
        <v>4</v>
      </c>
      <c r="AI271">
        <v>300</v>
      </c>
    </row>
    <row r="272" spans="2:35" x14ac:dyDescent="0.25">
      <c r="B272" t="s">
        <v>367</v>
      </c>
      <c r="C272" s="2">
        <v>647856458019449</v>
      </c>
      <c r="AE272">
        <v>4</v>
      </c>
      <c r="AF272">
        <v>1</v>
      </c>
      <c r="AG272">
        <v>6</v>
      </c>
      <c r="AH272">
        <v>5</v>
      </c>
      <c r="AI272">
        <v>210</v>
      </c>
    </row>
    <row r="273" spans="2:35" x14ac:dyDescent="0.25">
      <c r="B273" t="s">
        <v>368</v>
      </c>
      <c r="C273" s="2">
        <v>109174102036147</v>
      </c>
      <c r="AE273">
        <v>4</v>
      </c>
      <c r="AF273">
        <v>1</v>
      </c>
      <c r="AG273">
        <v>6</v>
      </c>
      <c r="AH273">
        <v>6</v>
      </c>
      <c r="AI273">
        <v>310</v>
      </c>
    </row>
    <row r="274" spans="2:35" x14ac:dyDescent="0.25">
      <c r="B274" t="s">
        <v>369</v>
      </c>
      <c r="C274" s="2">
        <v>144718833680452</v>
      </c>
      <c r="AE274">
        <v>4</v>
      </c>
      <c r="AF274">
        <v>1</v>
      </c>
      <c r="AG274">
        <v>6</v>
      </c>
      <c r="AH274">
        <v>7</v>
      </c>
      <c r="AI274">
        <v>300</v>
      </c>
    </row>
    <row r="275" spans="2:35" x14ac:dyDescent="0.25">
      <c r="B275" t="s">
        <v>370</v>
      </c>
      <c r="C275" s="2">
        <v>133388112845796</v>
      </c>
      <c r="AE275">
        <v>4</v>
      </c>
      <c r="AF275">
        <v>1</v>
      </c>
      <c r="AG275">
        <v>6</v>
      </c>
      <c r="AH275">
        <v>8</v>
      </c>
      <c r="AI275">
        <v>420</v>
      </c>
    </row>
    <row r="276" spans="2:35" x14ac:dyDescent="0.25">
      <c r="B276" t="s">
        <v>371</v>
      </c>
      <c r="C276" s="2">
        <v>160112919295915</v>
      </c>
      <c r="AE276">
        <v>4</v>
      </c>
      <c r="AF276">
        <v>1</v>
      </c>
      <c r="AG276">
        <v>6</v>
      </c>
      <c r="AH276">
        <v>9</v>
      </c>
      <c r="AI276">
        <v>620</v>
      </c>
    </row>
    <row r="277" spans="2:35" x14ac:dyDescent="0.25">
      <c r="B277" t="s">
        <v>372</v>
      </c>
      <c r="C277" s="2">
        <v>144718833680452</v>
      </c>
      <c r="AE277">
        <v>4</v>
      </c>
      <c r="AF277">
        <v>1</v>
      </c>
      <c r="AG277">
        <v>6</v>
      </c>
      <c r="AH277">
        <v>10</v>
      </c>
      <c r="AI277">
        <v>300</v>
      </c>
    </row>
    <row r="278" spans="2:35" x14ac:dyDescent="0.25">
      <c r="B278" t="s">
        <v>373</v>
      </c>
      <c r="C278" s="2">
        <v>686207368853582</v>
      </c>
      <c r="AE278">
        <v>4</v>
      </c>
      <c r="AF278">
        <v>1</v>
      </c>
      <c r="AG278">
        <v>6</v>
      </c>
      <c r="AH278">
        <v>11</v>
      </c>
      <c r="AI278">
        <v>210</v>
      </c>
    </row>
    <row r="279" spans="2:35" x14ac:dyDescent="0.25">
      <c r="B279" t="s">
        <v>374</v>
      </c>
      <c r="C279" s="2">
        <v>109174102036147</v>
      </c>
      <c r="AE279">
        <v>4</v>
      </c>
      <c r="AF279">
        <v>1</v>
      </c>
      <c r="AG279">
        <v>6</v>
      </c>
      <c r="AH279">
        <v>12</v>
      </c>
      <c r="AI279">
        <v>310</v>
      </c>
    </row>
    <row r="280" spans="2:35" x14ac:dyDescent="0.25">
      <c r="B280" t="s">
        <v>375</v>
      </c>
      <c r="C280" s="2">
        <v>144718833680452</v>
      </c>
      <c r="AE280">
        <v>4</v>
      </c>
      <c r="AF280">
        <v>1</v>
      </c>
      <c r="AG280">
        <v>7</v>
      </c>
      <c r="AH280">
        <v>1</v>
      </c>
      <c r="AI280">
        <v>130</v>
      </c>
    </row>
    <row r="281" spans="2:35" x14ac:dyDescent="0.25">
      <c r="B281" t="s">
        <v>376</v>
      </c>
      <c r="C281" s="2">
        <v>647856458019449</v>
      </c>
      <c r="AE281">
        <v>4</v>
      </c>
      <c r="AF281">
        <v>1</v>
      </c>
      <c r="AG281">
        <v>8</v>
      </c>
      <c r="AH281">
        <v>1</v>
      </c>
      <c r="AI281">
        <v>400</v>
      </c>
    </row>
    <row r="282" spans="2:35" x14ac:dyDescent="0.25">
      <c r="B282" t="s">
        <v>377</v>
      </c>
      <c r="C282" s="2">
        <v>180521866960676</v>
      </c>
      <c r="AE282">
        <v>4</v>
      </c>
      <c r="AF282">
        <v>1</v>
      </c>
      <c r="AG282">
        <v>8</v>
      </c>
      <c r="AH282">
        <v>2</v>
      </c>
      <c r="AI282">
        <v>740</v>
      </c>
    </row>
    <row r="283" spans="2:35" x14ac:dyDescent="0.25">
      <c r="B283" t="s">
        <v>378</v>
      </c>
      <c r="C283">
        <v>50100</v>
      </c>
      <c r="AE283">
        <v>4</v>
      </c>
      <c r="AF283">
        <v>1</v>
      </c>
      <c r="AG283">
        <v>8</v>
      </c>
      <c r="AH283">
        <v>3</v>
      </c>
      <c r="AI283">
        <v>200</v>
      </c>
    </row>
    <row r="284" spans="2:35" x14ac:dyDescent="0.25">
      <c r="B284" t="s">
        <v>379</v>
      </c>
      <c r="C284" s="2">
        <v>647856458019449</v>
      </c>
      <c r="AE284">
        <v>4</v>
      </c>
      <c r="AF284">
        <v>1</v>
      </c>
      <c r="AG284">
        <v>8</v>
      </c>
      <c r="AH284">
        <v>4</v>
      </c>
      <c r="AI284">
        <v>400</v>
      </c>
    </row>
    <row r="285" spans="2:35" x14ac:dyDescent="0.25">
      <c r="B285" t="s">
        <v>380</v>
      </c>
      <c r="C285" s="2">
        <v>109174102036147</v>
      </c>
      <c r="AE285">
        <v>4</v>
      </c>
      <c r="AF285">
        <v>1</v>
      </c>
      <c r="AG285">
        <v>8</v>
      </c>
      <c r="AH285">
        <v>5</v>
      </c>
      <c r="AI285">
        <v>370</v>
      </c>
    </row>
    <row r="286" spans="2:35" x14ac:dyDescent="0.25">
      <c r="B286" t="s">
        <v>381</v>
      </c>
      <c r="C286" s="2">
        <v>144718833680452</v>
      </c>
      <c r="AE286">
        <v>4</v>
      </c>
      <c r="AF286">
        <v>1</v>
      </c>
      <c r="AG286">
        <v>8</v>
      </c>
      <c r="AH286">
        <v>6</v>
      </c>
      <c r="AI286">
        <v>100</v>
      </c>
    </row>
    <row r="287" spans="2:35" x14ac:dyDescent="0.25">
      <c r="B287" t="s">
        <v>382</v>
      </c>
      <c r="C287" s="2">
        <v>133388112845796</v>
      </c>
      <c r="AE287">
        <v>4</v>
      </c>
      <c r="AF287">
        <v>1</v>
      </c>
      <c r="AG287">
        <v>8</v>
      </c>
      <c r="AH287">
        <v>7</v>
      </c>
      <c r="AI287">
        <v>400</v>
      </c>
    </row>
    <row r="288" spans="2:35" x14ac:dyDescent="0.25">
      <c r="B288" t="s">
        <v>383</v>
      </c>
      <c r="C288" s="2">
        <v>160112919295915</v>
      </c>
      <c r="AE288">
        <v>4</v>
      </c>
      <c r="AF288">
        <v>1</v>
      </c>
      <c r="AG288">
        <v>8</v>
      </c>
      <c r="AH288">
        <v>8</v>
      </c>
      <c r="AI288">
        <v>740</v>
      </c>
    </row>
    <row r="289" spans="2:35" x14ac:dyDescent="0.25">
      <c r="B289" t="s">
        <v>384</v>
      </c>
      <c r="C289" s="2">
        <v>144718833680452</v>
      </c>
      <c r="AE289">
        <v>4</v>
      </c>
      <c r="AF289">
        <v>1</v>
      </c>
      <c r="AG289">
        <v>8</v>
      </c>
      <c r="AH289">
        <v>9</v>
      </c>
      <c r="AI289">
        <v>200</v>
      </c>
    </row>
    <row r="290" spans="2:35" x14ac:dyDescent="0.25">
      <c r="B290" t="s">
        <v>385</v>
      </c>
      <c r="C290" s="2">
        <v>686207368853582</v>
      </c>
      <c r="AE290">
        <v>4</v>
      </c>
      <c r="AF290">
        <v>1</v>
      </c>
      <c r="AG290">
        <v>8</v>
      </c>
      <c r="AH290">
        <v>10</v>
      </c>
      <c r="AI290">
        <v>400</v>
      </c>
    </row>
    <row r="291" spans="2:35" x14ac:dyDescent="0.25">
      <c r="B291" t="s">
        <v>386</v>
      </c>
      <c r="C291" s="2">
        <v>109174102036147</v>
      </c>
      <c r="AE291">
        <v>4</v>
      </c>
      <c r="AF291">
        <v>1</v>
      </c>
      <c r="AG291">
        <v>8</v>
      </c>
      <c r="AH291">
        <v>11</v>
      </c>
      <c r="AI291">
        <v>370</v>
      </c>
    </row>
    <row r="292" spans="2:35" x14ac:dyDescent="0.25">
      <c r="B292" t="s">
        <v>387</v>
      </c>
      <c r="C292" s="2">
        <v>144718833680452</v>
      </c>
      <c r="AE292">
        <v>4</v>
      </c>
      <c r="AF292">
        <v>1</v>
      </c>
      <c r="AG292">
        <v>8</v>
      </c>
      <c r="AH292">
        <v>12</v>
      </c>
      <c r="AI292">
        <v>100</v>
      </c>
    </row>
    <row r="293" spans="2:35" x14ac:dyDescent="0.25">
      <c r="B293" t="s">
        <v>388</v>
      </c>
      <c r="C293" s="2">
        <v>647856458019449</v>
      </c>
      <c r="AE293">
        <v>4</v>
      </c>
      <c r="AF293">
        <v>2</v>
      </c>
      <c r="AG293">
        <v>2</v>
      </c>
      <c r="AH293">
        <v>2</v>
      </c>
      <c r="AI293">
        <v>310</v>
      </c>
    </row>
    <row r="294" spans="2:35" x14ac:dyDescent="0.25">
      <c r="B294" t="s">
        <v>389</v>
      </c>
      <c r="C294" s="2">
        <v>180521866960676</v>
      </c>
      <c r="AE294">
        <v>4</v>
      </c>
      <c r="AF294">
        <v>2</v>
      </c>
      <c r="AG294">
        <v>2</v>
      </c>
      <c r="AH294">
        <v>3</v>
      </c>
      <c r="AI294">
        <v>600</v>
      </c>
    </row>
    <row r="295" spans="2:35" x14ac:dyDescent="0.25">
      <c r="B295" t="s">
        <v>390</v>
      </c>
      <c r="C295">
        <v>50100</v>
      </c>
      <c r="AE295">
        <v>4</v>
      </c>
      <c r="AF295">
        <v>2</v>
      </c>
      <c r="AG295">
        <v>2</v>
      </c>
      <c r="AH295">
        <v>4</v>
      </c>
      <c r="AI295">
        <v>210</v>
      </c>
    </row>
    <row r="296" spans="2:35" x14ac:dyDescent="0.25">
      <c r="B296" t="s">
        <v>391</v>
      </c>
      <c r="C296" s="2">
        <v>647856458019449</v>
      </c>
      <c r="AE296">
        <v>4</v>
      </c>
      <c r="AF296">
        <v>2</v>
      </c>
      <c r="AG296">
        <v>2</v>
      </c>
      <c r="AH296">
        <v>5</v>
      </c>
      <c r="AI296">
        <v>310</v>
      </c>
    </row>
    <row r="297" spans="2:35" x14ac:dyDescent="0.25">
      <c r="B297" t="s">
        <v>392</v>
      </c>
      <c r="C297" s="2">
        <v>109174102036147</v>
      </c>
      <c r="AE297">
        <v>4</v>
      </c>
      <c r="AF297">
        <v>2</v>
      </c>
      <c r="AG297">
        <v>2</v>
      </c>
      <c r="AH297">
        <v>6</v>
      </c>
      <c r="AI297">
        <v>300</v>
      </c>
    </row>
    <row r="298" spans="2:35" x14ac:dyDescent="0.25">
      <c r="B298" t="s">
        <v>393</v>
      </c>
      <c r="C298" s="2">
        <v>144718833680452</v>
      </c>
      <c r="AE298">
        <v>4</v>
      </c>
      <c r="AF298">
        <v>2</v>
      </c>
      <c r="AG298">
        <v>2</v>
      </c>
      <c r="AH298">
        <v>7</v>
      </c>
      <c r="AI298">
        <v>210</v>
      </c>
    </row>
    <row r="299" spans="2:35" x14ac:dyDescent="0.25">
      <c r="B299" t="s">
        <v>394</v>
      </c>
      <c r="C299" s="2">
        <v>133388112845796</v>
      </c>
      <c r="AE299">
        <v>4</v>
      </c>
      <c r="AF299">
        <v>2</v>
      </c>
      <c r="AG299">
        <v>2</v>
      </c>
      <c r="AH299">
        <v>8</v>
      </c>
      <c r="AI299">
        <v>310</v>
      </c>
    </row>
    <row r="300" spans="2:35" x14ac:dyDescent="0.25">
      <c r="B300" t="s">
        <v>395</v>
      </c>
      <c r="C300" s="2">
        <v>160112919295915</v>
      </c>
      <c r="AE300">
        <v>4</v>
      </c>
      <c r="AF300">
        <v>2</v>
      </c>
      <c r="AG300">
        <v>2</v>
      </c>
      <c r="AH300">
        <v>9</v>
      </c>
      <c r="AI300">
        <v>600</v>
      </c>
    </row>
    <row r="301" spans="2:35" x14ac:dyDescent="0.25">
      <c r="B301" t="s">
        <v>396</v>
      </c>
      <c r="C301" s="2">
        <v>144718833680452</v>
      </c>
      <c r="AE301">
        <v>4</v>
      </c>
      <c r="AF301">
        <v>2</v>
      </c>
      <c r="AG301">
        <v>2</v>
      </c>
      <c r="AH301">
        <v>10</v>
      </c>
      <c r="AI301">
        <v>210</v>
      </c>
    </row>
    <row r="302" spans="2:35" x14ac:dyDescent="0.25">
      <c r="B302" t="s">
        <v>397</v>
      </c>
      <c r="C302" s="2">
        <v>686207368853582</v>
      </c>
      <c r="AE302">
        <v>4</v>
      </c>
      <c r="AF302">
        <v>2</v>
      </c>
      <c r="AG302">
        <v>2</v>
      </c>
      <c r="AH302">
        <v>11</v>
      </c>
      <c r="AI302">
        <v>310</v>
      </c>
    </row>
    <row r="303" spans="2:35" x14ac:dyDescent="0.25">
      <c r="B303" t="s">
        <v>398</v>
      </c>
      <c r="C303" s="2">
        <v>109174102036147</v>
      </c>
      <c r="AE303">
        <v>4</v>
      </c>
      <c r="AF303">
        <v>2</v>
      </c>
      <c r="AG303">
        <v>2</v>
      </c>
      <c r="AH303">
        <v>12</v>
      </c>
      <c r="AI303">
        <v>300</v>
      </c>
    </row>
    <row r="304" spans="2:35" x14ac:dyDescent="0.25">
      <c r="B304" t="s">
        <v>399</v>
      </c>
      <c r="C304" s="2">
        <v>144718833680452</v>
      </c>
      <c r="AE304">
        <v>4</v>
      </c>
      <c r="AF304">
        <v>2</v>
      </c>
      <c r="AG304">
        <v>5</v>
      </c>
      <c r="AH304">
        <v>2</v>
      </c>
      <c r="AI304">
        <v>600</v>
      </c>
    </row>
    <row r="305" spans="2:35" x14ac:dyDescent="0.25">
      <c r="B305" t="s">
        <v>400</v>
      </c>
      <c r="C305" s="2">
        <v>647856458019449</v>
      </c>
      <c r="AE305">
        <v>4</v>
      </c>
      <c r="AF305">
        <v>2</v>
      </c>
      <c r="AG305">
        <v>5</v>
      </c>
      <c r="AH305">
        <v>3</v>
      </c>
      <c r="AI305">
        <v>500</v>
      </c>
    </row>
    <row r="306" spans="2:35" x14ac:dyDescent="0.25">
      <c r="B306" t="s">
        <v>401</v>
      </c>
      <c r="C306" s="2">
        <v>180521866960676</v>
      </c>
      <c r="AE306">
        <v>4</v>
      </c>
      <c r="AF306">
        <v>2</v>
      </c>
      <c r="AG306">
        <v>5</v>
      </c>
      <c r="AH306">
        <v>4</v>
      </c>
      <c r="AI306">
        <v>700</v>
      </c>
    </row>
    <row r="307" spans="2:35" x14ac:dyDescent="0.25">
      <c r="B307" t="s">
        <v>402</v>
      </c>
      <c r="C307">
        <v>50100</v>
      </c>
      <c r="AE307">
        <v>4</v>
      </c>
      <c r="AF307">
        <v>2</v>
      </c>
      <c r="AG307">
        <v>5</v>
      </c>
      <c r="AH307">
        <v>5</v>
      </c>
      <c r="AI307">
        <v>300</v>
      </c>
    </row>
    <row r="308" spans="2:35" x14ac:dyDescent="0.25">
      <c r="B308" t="s">
        <v>403</v>
      </c>
      <c r="C308" s="2">
        <v>647856458019449</v>
      </c>
      <c r="AE308">
        <v>4</v>
      </c>
      <c r="AF308">
        <v>2</v>
      </c>
      <c r="AG308">
        <v>5</v>
      </c>
      <c r="AH308">
        <v>6</v>
      </c>
      <c r="AI308">
        <v>250</v>
      </c>
    </row>
    <row r="309" spans="2:35" x14ac:dyDescent="0.25">
      <c r="B309" t="s">
        <v>404</v>
      </c>
      <c r="C309" s="2">
        <v>109174102036147</v>
      </c>
      <c r="AE309">
        <v>4</v>
      </c>
      <c r="AF309">
        <v>2</v>
      </c>
      <c r="AG309">
        <v>5</v>
      </c>
      <c r="AH309">
        <v>7</v>
      </c>
      <c r="AI309">
        <v>700</v>
      </c>
    </row>
    <row r="310" spans="2:35" x14ac:dyDescent="0.25">
      <c r="B310" t="s">
        <v>405</v>
      </c>
      <c r="C310" s="2">
        <v>144718833680452</v>
      </c>
      <c r="AE310">
        <v>4</v>
      </c>
      <c r="AF310">
        <v>2</v>
      </c>
      <c r="AG310">
        <v>5</v>
      </c>
      <c r="AH310">
        <v>8</v>
      </c>
      <c r="AI310">
        <v>600</v>
      </c>
    </row>
    <row r="311" spans="2:35" x14ac:dyDescent="0.25">
      <c r="B311" t="s">
        <v>406</v>
      </c>
      <c r="C311" s="2">
        <v>133388112845796</v>
      </c>
      <c r="AE311">
        <v>4</v>
      </c>
      <c r="AF311">
        <v>2</v>
      </c>
      <c r="AG311">
        <v>5</v>
      </c>
      <c r="AH311">
        <v>9</v>
      </c>
      <c r="AI311">
        <v>500</v>
      </c>
    </row>
    <row r="312" spans="2:35" x14ac:dyDescent="0.25">
      <c r="B312" t="s">
        <v>407</v>
      </c>
      <c r="C312" s="2">
        <v>160112919295915</v>
      </c>
      <c r="AE312">
        <v>4</v>
      </c>
      <c r="AF312">
        <v>2</v>
      </c>
      <c r="AG312">
        <v>5</v>
      </c>
      <c r="AH312">
        <v>10</v>
      </c>
      <c r="AI312">
        <v>700</v>
      </c>
    </row>
    <row r="313" spans="2:35" x14ac:dyDescent="0.25">
      <c r="B313" t="s">
        <v>408</v>
      </c>
      <c r="C313" s="2">
        <v>144718833680452</v>
      </c>
      <c r="AE313">
        <v>4</v>
      </c>
      <c r="AF313">
        <v>2</v>
      </c>
      <c r="AG313">
        <v>5</v>
      </c>
      <c r="AH313">
        <v>11</v>
      </c>
      <c r="AI313">
        <v>300</v>
      </c>
    </row>
    <row r="314" spans="2:35" x14ac:dyDescent="0.25">
      <c r="B314" t="s">
        <v>409</v>
      </c>
      <c r="C314" s="2">
        <v>559155711905203</v>
      </c>
      <c r="AE314">
        <v>4</v>
      </c>
      <c r="AF314">
        <v>2</v>
      </c>
      <c r="AG314">
        <v>5</v>
      </c>
      <c r="AH314">
        <v>12</v>
      </c>
      <c r="AI314">
        <v>250</v>
      </c>
    </row>
    <row r="315" spans="2:35" x14ac:dyDescent="0.25">
      <c r="B315" t="s">
        <v>410</v>
      </c>
      <c r="C315" s="2">
        <v>675078864353312</v>
      </c>
      <c r="AE315">
        <v>4</v>
      </c>
      <c r="AF315">
        <v>2</v>
      </c>
      <c r="AG315">
        <v>7</v>
      </c>
      <c r="AH315">
        <v>2</v>
      </c>
      <c r="AI315">
        <v>600</v>
      </c>
    </row>
    <row r="316" spans="2:35" x14ac:dyDescent="0.25">
      <c r="B316" t="s">
        <v>411</v>
      </c>
      <c r="C316" s="2">
        <v>585045541198899</v>
      </c>
      <c r="AE316">
        <v>4</v>
      </c>
      <c r="AF316">
        <v>2</v>
      </c>
      <c r="AG316">
        <v>7</v>
      </c>
      <c r="AH316">
        <v>3</v>
      </c>
      <c r="AI316">
        <v>600</v>
      </c>
    </row>
    <row r="317" spans="2:35" x14ac:dyDescent="0.25">
      <c r="B317" t="s">
        <v>412</v>
      </c>
      <c r="C317">
        <v>30200</v>
      </c>
      <c r="AE317">
        <v>4</v>
      </c>
      <c r="AF317">
        <v>2</v>
      </c>
      <c r="AG317">
        <v>7</v>
      </c>
      <c r="AH317">
        <v>4</v>
      </c>
      <c r="AI317">
        <v>130</v>
      </c>
    </row>
    <row r="318" spans="2:35" x14ac:dyDescent="0.25">
      <c r="B318" t="s">
        <v>413</v>
      </c>
      <c r="C318" s="2">
        <v>246461282264779</v>
      </c>
      <c r="AE318">
        <v>4</v>
      </c>
      <c r="AF318">
        <v>2</v>
      </c>
      <c r="AG318">
        <v>7</v>
      </c>
      <c r="AH318">
        <v>5</v>
      </c>
      <c r="AI318">
        <v>300</v>
      </c>
    </row>
    <row r="319" spans="2:35" x14ac:dyDescent="0.25">
      <c r="B319" t="s">
        <v>414</v>
      </c>
      <c r="C319" s="2">
        <v>122448115205421</v>
      </c>
      <c r="AE319">
        <v>4</v>
      </c>
      <c r="AF319">
        <v>2</v>
      </c>
      <c r="AG319">
        <v>7</v>
      </c>
      <c r="AH319">
        <v>6</v>
      </c>
      <c r="AI319">
        <v>300</v>
      </c>
    </row>
    <row r="320" spans="2:35" x14ac:dyDescent="0.25">
      <c r="B320" t="s">
        <v>415</v>
      </c>
      <c r="C320" s="2">
        <v>488798370672098</v>
      </c>
      <c r="AE320">
        <v>4</v>
      </c>
      <c r="AF320">
        <v>2</v>
      </c>
      <c r="AG320">
        <v>7</v>
      </c>
      <c r="AH320">
        <v>7</v>
      </c>
      <c r="AI320">
        <v>130</v>
      </c>
    </row>
    <row r="321" spans="2:35" x14ac:dyDescent="0.25">
      <c r="B321" t="s">
        <v>416</v>
      </c>
      <c r="C321" s="2">
        <v>675078864353312</v>
      </c>
      <c r="AE321">
        <v>4</v>
      </c>
      <c r="AF321">
        <v>2</v>
      </c>
      <c r="AG321">
        <v>7</v>
      </c>
      <c r="AH321">
        <v>8</v>
      </c>
      <c r="AI321">
        <v>600</v>
      </c>
    </row>
    <row r="322" spans="2:35" x14ac:dyDescent="0.25">
      <c r="B322" t="s">
        <v>417</v>
      </c>
      <c r="C322" s="2">
        <v>585045541198899</v>
      </c>
      <c r="AE322">
        <v>4</v>
      </c>
      <c r="AF322">
        <v>2</v>
      </c>
      <c r="AG322">
        <v>7</v>
      </c>
      <c r="AH322">
        <v>9</v>
      </c>
      <c r="AI322">
        <v>600</v>
      </c>
    </row>
    <row r="323" spans="2:35" x14ac:dyDescent="0.25">
      <c r="B323" t="s">
        <v>418</v>
      </c>
      <c r="C323">
        <v>30200</v>
      </c>
      <c r="AE323">
        <v>4</v>
      </c>
      <c r="AF323">
        <v>2</v>
      </c>
      <c r="AG323">
        <v>7</v>
      </c>
      <c r="AH323">
        <v>10</v>
      </c>
      <c r="AI323">
        <v>130</v>
      </c>
    </row>
    <row r="324" spans="2:35" x14ac:dyDescent="0.25">
      <c r="B324" t="s">
        <v>419</v>
      </c>
      <c r="C324" s="2">
        <v>246461282264779</v>
      </c>
      <c r="AE324">
        <v>4</v>
      </c>
      <c r="AF324">
        <v>2</v>
      </c>
      <c r="AG324">
        <v>7</v>
      </c>
      <c r="AH324">
        <v>11</v>
      </c>
      <c r="AI324">
        <v>300</v>
      </c>
    </row>
    <row r="325" spans="2:35" x14ac:dyDescent="0.25">
      <c r="B325" t="s">
        <v>420</v>
      </c>
      <c r="C325" s="2">
        <v>122448115205421</v>
      </c>
      <c r="AE325">
        <v>4</v>
      </c>
      <c r="AF325">
        <v>2</v>
      </c>
      <c r="AG325">
        <v>7</v>
      </c>
      <c r="AH325">
        <v>12</v>
      </c>
      <c r="AI325">
        <v>300</v>
      </c>
    </row>
    <row r="326" spans="2:35" x14ac:dyDescent="0.25">
      <c r="B326" t="s">
        <v>421</v>
      </c>
      <c r="C326" s="2">
        <v>559155711905203</v>
      </c>
    </row>
    <row r="327" spans="2:35" x14ac:dyDescent="0.25">
      <c r="B327" t="s">
        <v>422</v>
      </c>
      <c r="C327" s="2">
        <v>675078864353312</v>
      </c>
    </row>
    <row r="328" spans="2:35" x14ac:dyDescent="0.25">
      <c r="B328" t="s">
        <v>423</v>
      </c>
      <c r="C328" s="2">
        <v>585045541198899</v>
      </c>
    </row>
    <row r="329" spans="2:35" x14ac:dyDescent="0.25">
      <c r="B329" t="s">
        <v>424</v>
      </c>
      <c r="C329">
        <v>30200</v>
      </c>
    </row>
    <row r="330" spans="2:35" x14ac:dyDescent="0.25">
      <c r="B330" t="s">
        <v>425</v>
      </c>
      <c r="C330" s="2">
        <v>246461282264779</v>
      </c>
    </row>
    <row r="331" spans="2:35" x14ac:dyDescent="0.25">
      <c r="B331" t="s">
        <v>426</v>
      </c>
      <c r="C331" s="2">
        <v>122448115205421</v>
      </c>
    </row>
    <row r="332" spans="2:35" x14ac:dyDescent="0.25">
      <c r="B332" t="s">
        <v>427</v>
      </c>
      <c r="C332" s="2">
        <v>488798370672098</v>
      </c>
    </row>
    <row r="333" spans="2:35" x14ac:dyDescent="0.25">
      <c r="B333" t="s">
        <v>428</v>
      </c>
      <c r="C333" s="2">
        <v>675078864353312</v>
      </c>
    </row>
    <row r="334" spans="2:35" x14ac:dyDescent="0.25">
      <c r="B334" t="s">
        <v>429</v>
      </c>
      <c r="C334" s="2">
        <v>585045541198899</v>
      </c>
    </row>
    <row r="335" spans="2:35" x14ac:dyDescent="0.25">
      <c r="B335" t="s">
        <v>430</v>
      </c>
      <c r="C335">
        <v>30200</v>
      </c>
    </row>
    <row r="336" spans="2:35" x14ac:dyDescent="0.25">
      <c r="B336" t="s">
        <v>431</v>
      </c>
      <c r="C336" s="2">
        <v>246461282264779</v>
      </c>
    </row>
    <row r="337" spans="2:3" x14ac:dyDescent="0.25">
      <c r="B337" t="s">
        <v>432</v>
      </c>
      <c r="C337" s="2">
        <v>122448115205421</v>
      </c>
    </row>
    <row r="338" spans="2:3" x14ac:dyDescent="0.25">
      <c r="B338" t="s">
        <v>433</v>
      </c>
      <c r="C338" s="2">
        <v>559155711905203</v>
      </c>
    </row>
    <row r="339" spans="2:3" x14ac:dyDescent="0.25">
      <c r="B339" t="s">
        <v>434</v>
      </c>
      <c r="C339" s="2">
        <v>675078864353312</v>
      </c>
    </row>
    <row r="340" spans="2:3" x14ac:dyDescent="0.25">
      <c r="B340" t="s">
        <v>435</v>
      </c>
      <c r="C340" s="2">
        <v>585045541198899</v>
      </c>
    </row>
    <row r="341" spans="2:3" x14ac:dyDescent="0.25">
      <c r="B341" t="s">
        <v>436</v>
      </c>
      <c r="C341">
        <v>30200</v>
      </c>
    </row>
    <row r="342" spans="2:3" x14ac:dyDescent="0.25">
      <c r="B342" t="s">
        <v>437</v>
      </c>
      <c r="C342" s="2">
        <v>246461282264779</v>
      </c>
    </row>
    <row r="343" spans="2:3" x14ac:dyDescent="0.25">
      <c r="B343" t="s">
        <v>438</v>
      </c>
      <c r="C343" s="2">
        <v>122448115205421</v>
      </c>
    </row>
    <row r="344" spans="2:3" x14ac:dyDescent="0.25">
      <c r="B344" t="s">
        <v>439</v>
      </c>
      <c r="C344" s="2">
        <v>488798370672098</v>
      </c>
    </row>
    <row r="345" spans="2:3" x14ac:dyDescent="0.25">
      <c r="B345" t="s">
        <v>440</v>
      </c>
      <c r="C345" s="2">
        <v>675078864353312</v>
      </c>
    </row>
    <row r="346" spans="2:3" x14ac:dyDescent="0.25">
      <c r="B346" t="s">
        <v>441</v>
      </c>
      <c r="C346" s="2">
        <v>585045541198899</v>
      </c>
    </row>
    <row r="347" spans="2:3" x14ac:dyDescent="0.25">
      <c r="B347" t="s">
        <v>442</v>
      </c>
      <c r="C347">
        <v>30200</v>
      </c>
    </row>
    <row r="348" spans="2:3" x14ac:dyDescent="0.25">
      <c r="B348" t="s">
        <v>443</v>
      </c>
      <c r="C348" s="2">
        <v>246461282264779</v>
      </c>
    </row>
    <row r="349" spans="2:3" x14ac:dyDescent="0.25">
      <c r="B349" t="s">
        <v>444</v>
      </c>
      <c r="C349" s="2">
        <v>122448115205421</v>
      </c>
    </row>
    <row r="350" spans="2:3" x14ac:dyDescent="0.25">
      <c r="B350" t="s">
        <v>445</v>
      </c>
      <c r="C350" s="2">
        <v>559155711905203</v>
      </c>
    </row>
    <row r="351" spans="2:3" x14ac:dyDescent="0.25">
      <c r="B351" t="s">
        <v>446</v>
      </c>
      <c r="C351" s="2">
        <v>675078864353312</v>
      </c>
    </row>
    <row r="352" spans="2:3" x14ac:dyDescent="0.25">
      <c r="B352" t="s">
        <v>447</v>
      </c>
      <c r="C352" s="2">
        <v>585045541198899</v>
      </c>
    </row>
    <row r="353" spans="2:3" x14ac:dyDescent="0.25">
      <c r="B353" t="s">
        <v>448</v>
      </c>
      <c r="C353">
        <v>30200</v>
      </c>
    </row>
    <row r="354" spans="2:3" x14ac:dyDescent="0.25">
      <c r="B354" t="s">
        <v>449</v>
      </c>
      <c r="C354" s="2">
        <v>246461282264779</v>
      </c>
    </row>
    <row r="355" spans="2:3" x14ac:dyDescent="0.25">
      <c r="B355" t="s">
        <v>450</v>
      </c>
      <c r="C355" s="2">
        <v>122448115205421</v>
      </c>
    </row>
    <row r="356" spans="2:3" x14ac:dyDescent="0.25">
      <c r="B356" t="s">
        <v>451</v>
      </c>
      <c r="C356" s="2">
        <v>488798370672098</v>
      </c>
    </row>
    <row r="357" spans="2:3" x14ac:dyDescent="0.25">
      <c r="B357" t="s">
        <v>452</v>
      </c>
      <c r="C357" s="2">
        <v>675078864353312</v>
      </c>
    </row>
    <row r="358" spans="2:3" x14ac:dyDescent="0.25">
      <c r="B358" t="s">
        <v>453</v>
      </c>
      <c r="C358" s="2">
        <v>585045541198899</v>
      </c>
    </row>
    <row r="359" spans="2:3" x14ac:dyDescent="0.25">
      <c r="B359" t="s">
        <v>454</v>
      </c>
      <c r="C359">
        <v>30200</v>
      </c>
    </row>
    <row r="360" spans="2:3" x14ac:dyDescent="0.25">
      <c r="B360" t="s">
        <v>455</v>
      </c>
      <c r="C360" s="2">
        <v>246461282264779</v>
      </c>
    </row>
    <row r="361" spans="2:3" x14ac:dyDescent="0.25">
      <c r="B361" t="s">
        <v>456</v>
      </c>
      <c r="C361" s="2">
        <v>122448115205421</v>
      </c>
    </row>
    <row r="362" spans="2:3" x14ac:dyDescent="0.25">
      <c r="B362" t="s">
        <v>457</v>
      </c>
      <c r="C362" s="2">
        <v>559155711905203</v>
      </c>
    </row>
    <row r="363" spans="2:3" x14ac:dyDescent="0.25">
      <c r="B363" t="s">
        <v>458</v>
      </c>
      <c r="C363" s="2">
        <v>675078864353312</v>
      </c>
    </row>
    <row r="364" spans="2:3" x14ac:dyDescent="0.25">
      <c r="B364" t="s">
        <v>459</v>
      </c>
      <c r="C364" s="2">
        <v>585045541198899</v>
      </c>
    </row>
    <row r="365" spans="2:3" x14ac:dyDescent="0.25">
      <c r="B365" t="s">
        <v>460</v>
      </c>
      <c r="C365">
        <v>30200</v>
      </c>
    </row>
    <row r="366" spans="2:3" x14ac:dyDescent="0.25">
      <c r="B366" t="s">
        <v>461</v>
      </c>
      <c r="C366" s="2">
        <v>246461282264779</v>
      </c>
    </row>
    <row r="367" spans="2:3" x14ac:dyDescent="0.25">
      <c r="B367" t="s">
        <v>462</v>
      </c>
      <c r="C367" s="2">
        <v>122448115205421</v>
      </c>
    </row>
    <row r="368" spans="2:3" x14ac:dyDescent="0.25">
      <c r="B368" t="s">
        <v>463</v>
      </c>
      <c r="C368" s="2">
        <v>488798370672098</v>
      </c>
    </row>
    <row r="369" spans="2:3" x14ac:dyDescent="0.25">
      <c r="B369" t="s">
        <v>464</v>
      </c>
      <c r="C369" s="2">
        <v>675078864353312</v>
      </c>
    </row>
    <row r="370" spans="2:3" x14ac:dyDescent="0.25">
      <c r="B370" t="s">
        <v>465</v>
      </c>
      <c r="C370" s="2">
        <v>585045541198899</v>
      </c>
    </row>
    <row r="371" spans="2:3" x14ac:dyDescent="0.25">
      <c r="B371" t="s">
        <v>466</v>
      </c>
      <c r="C371">
        <v>30200</v>
      </c>
    </row>
    <row r="372" spans="2:3" x14ac:dyDescent="0.25">
      <c r="B372" t="s">
        <v>467</v>
      </c>
      <c r="C372" s="2">
        <v>246461282264779</v>
      </c>
    </row>
    <row r="373" spans="2:3" x14ac:dyDescent="0.25">
      <c r="B373" t="s">
        <v>468</v>
      </c>
      <c r="C373" s="2">
        <v>122448115205421</v>
      </c>
    </row>
    <row r="374" spans="2:3" x14ac:dyDescent="0.25">
      <c r="B374" t="s">
        <v>469</v>
      </c>
      <c r="C374" s="2">
        <v>559155711905203</v>
      </c>
    </row>
    <row r="375" spans="2:3" x14ac:dyDescent="0.25">
      <c r="B375" t="s">
        <v>470</v>
      </c>
      <c r="C375" s="2">
        <v>675078864353312</v>
      </c>
    </row>
    <row r="376" spans="2:3" x14ac:dyDescent="0.25">
      <c r="B376" t="s">
        <v>471</v>
      </c>
      <c r="C376" s="2">
        <v>585045541198899</v>
      </c>
    </row>
    <row r="377" spans="2:3" x14ac:dyDescent="0.25">
      <c r="B377" t="s">
        <v>472</v>
      </c>
      <c r="C377">
        <v>30200</v>
      </c>
    </row>
    <row r="378" spans="2:3" x14ac:dyDescent="0.25">
      <c r="B378" t="s">
        <v>473</v>
      </c>
      <c r="C378" s="2">
        <v>246461282264779</v>
      </c>
    </row>
    <row r="379" spans="2:3" x14ac:dyDescent="0.25">
      <c r="B379" t="s">
        <v>474</v>
      </c>
      <c r="C379" s="2">
        <v>122448115205421</v>
      </c>
    </row>
    <row r="380" spans="2:3" x14ac:dyDescent="0.25">
      <c r="B380" t="s">
        <v>475</v>
      </c>
      <c r="C380" s="2">
        <v>488798370672098</v>
      </c>
    </row>
    <row r="381" spans="2:3" x14ac:dyDescent="0.25">
      <c r="B381" t="s">
        <v>476</v>
      </c>
      <c r="C381" s="2">
        <v>675078864353312</v>
      </c>
    </row>
    <row r="382" spans="2:3" x14ac:dyDescent="0.25">
      <c r="B382" t="s">
        <v>477</v>
      </c>
      <c r="C382" s="2">
        <v>585045541198899</v>
      </c>
    </row>
    <row r="383" spans="2:3" x14ac:dyDescent="0.25">
      <c r="B383" t="s">
        <v>478</v>
      </c>
      <c r="C383">
        <v>30200</v>
      </c>
    </row>
    <row r="384" spans="2:3" x14ac:dyDescent="0.25">
      <c r="B384" t="s">
        <v>479</v>
      </c>
      <c r="C384" s="2">
        <v>246461282264779</v>
      </c>
    </row>
    <row r="385" spans="2:3" x14ac:dyDescent="0.25">
      <c r="B385" t="s">
        <v>480</v>
      </c>
      <c r="C385" s="2">
        <v>122448115205421</v>
      </c>
    </row>
    <row r="386" spans="2:3" x14ac:dyDescent="0.25">
      <c r="B386" t="s">
        <v>481</v>
      </c>
      <c r="C386" s="2">
        <v>559155711905203</v>
      </c>
    </row>
    <row r="387" spans="2:3" x14ac:dyDescent="0.25">
      <c r="B387" t="s">
        <v>482</v>
      </c>
      <c r="C387" s="2">
        <v>675078864353312</v>
      </c>
    </row>
    <row r="388" spans="2:3" x14ac:dyDescent="0.25">
      <c r="B388" t="s">
        <v>483</v>
      </c>
      <c r="C388" s="2">
        <v>585045541198899</v>
      </c>
    </row>
    <row r="389" spans="2:3" x14ac:dyDescent="0.25">
      <c r="B389" t="s">
        <v>484</v>
      </c>
      <c r="C389">
        <v>30200</v>
      </c>
    </row>
    <row r="390" spans="2:3" x14ac:dyDescent="0.25">
      <c r="B390" t="s">
        <v>485</v>
      </c>
      <c r="C390" s="2">
        <v>246461282264779</v>
      </c>
    </row>
    <row r="391" spans="2:3" x14ac:dyDescent="0.25">
      <c r="B391" t="s">
        <v>486</v>
      </c>
      <c r="C391" s="2">
        <v>122448115205421</v>
      </c>
    </row>
    <row r="392" spans="2:3" x14ac:dyDescent="0.25">
      <c r="B392" t="s">
        <v>487</v>
      </c>
      <c r="C392" s="2">
        <v>488798370672098</v>
      </c>
    </row>
    <row r="393" spans="2:3" x14ac:dyDescent="0.25">
      <c r="B393" t="s">
        <v>488</v>
      </c>
      <c r="C393" s="2">
        <v>675078864353312</v>
      </c>
    </row>
    <row r="394" spans="2:3" x14ac:dyDescent="0.25">
      <c r="B394" t="s">
        <v>489</v>
      </c>
      <c r="C394" s="2">
        <v>585045541198899</v>
      </c>
    </row>
    <row r="395" spans="2:3" x14ac:dyDescent="0.25">
      <c r="B395" t="s">
        <v>490</v>
      </c>
      <c r="C395">
        <v>30200</v>
      </c>
    </row>
    <row r="396" spans="2:3" x14ac:dyDescent="0.25">
      <c r="B396" t="s">
        <v>491</v>
      </c>
      <c r="C396" s="2">
        <v>246461282264779</v>
      </c>
    </row>
    <row r="397" spans="2:3" x14ac:dyDescent="0.25">
      <c r="B397" t="s">
        <v>492</v>
      </c>
      <c r="C397" s="2">
        <v>122448115205421</v>
      </c>
    </row>
    <row r="398" spans="2:3" x14ac:dyDescent="0.25">
      <c r="B398" t="s">
        <v>493</v>
      </c>
      <c r="C398" s="2">
        <v>559155711905203</v>
      </c>
    </row>
    <row r="399" spans="2:3" x14ac:dyDescent="0.25">
      <c r="B399" t="s">
        <v>494</v>
      </c>
      <c r="C399" s="2">
        <v>675078864353312</v>
      </c>
    </row>
    <row r="400" spans="2:3" x14ac:dyDescent="0.25">
      <c r="B400" t="s">
        <v>495</v>
      </c>
      <c r="C400" s="2">
        <v>585045541198899</v>
      </c>
    </row>
    <row r="401" spans="2:3" x14ac:dyDescent="0.25">
      <c r="B401" t="s">
        <v>496</v>
      </c>
      <c r="C401">
        <v>30200</v>
      </c>
    </row>
    <row r="402" spans="2:3" x14ac:dyDescent="0.25">
      <c r="B402" t="s">
        <v>497</v>
      </c>
      <c r="C402" s="2">
        <v>246461282264779</v>
      </c>
    </row>
    <row r="403" spans="2:3" x14ac:dyDescent="0.25">
      <c r="B403" t="s">
        <v>498</v>
      </c>
      <c r="C403" s="2">
        <v>122448115205421</v>
      </c>
    </row>
    <row r="404" spans="2:3" x14ac:dyDescent="0.25">
      <c r="B404" t="s">
        <v>499</v>
      </c>
      <c r="C404" s="2">
        <v>488798370672098</v>
      </c>
    </row>
    <row r="405" spans="2:3" x14ac:dyDescent="0.25">
      <c r="B405" t="s">
        <v>500</v>
      </c>
      <c r="C405" s="2">
        <v>675078864353312</v>
      </c>
    </row>
    <row r="406" spans="2:3" x14ac:dyDescent="0.25">
      <c r="B406" t="s">
        <v>501</v>
      </c>
      <c r="C406" s="2">
        <v>585045541198899</v>
      </c>
    </row>
    <row r="407" spans="2:3" x14ac:dyDescent="0.25">
      <c r="B407" t="s">
        <v>502</v>
      </c>
      <c r="C407">
        <v>30200</v>
      </c>
    </row>
    <row r="408" spans="2:3" x14ac:dyDescent="0.25">
      <c r="B408" t="s">
        <v>503</v>
      </c>
      <c r="C408" s="2">
        <v>246461282264779</v>
      </c>
    </row>
    <row r="409" spans="2:3" x14ac:dyDescent="0.25">
      <c r="B409" t="s">
        <v>504</v>
      </c>
      <c r="C409" s="2">
        <v>122448115205421</v>
      </c>
    </row>
    <row r="410" spans="2:3" x14ac:dyDescent="0.25">
      <c r="B410" t="s">
        <v>505</v>
      </c>
      <c r="C410" s="2">
        <v>659137196815405</v>
      </c>
    </row>
    <row r="411" spans="2:3" x14ac:dyDescent="0.25">
      <c r="B411" t="s">
        <v>506</v>
      </c>
      <c r="C411" s="2">
        <v>821645231739869</v>
      </c>
    </row>
    <row r="412" spans="2:3" x14ac:dyDescent="0.25">
      <c r="B412" t="s">
        <v>507</v>
      </c>
      <c r="C412" s="2">
        <v>708748146579115</v>
      </c>
    </row>
    <row r="413" spans="2:3" x14ac:dyDescent="0.25">
      <c r="B413" t="s">
        <v>508</v>
      </c>
      <c r="C413">
        <v>35600</v>
      </c>
    </row>
    <row r="414" spans="2:3" x14ac:dyDescent="0.25">
      <c r="B414" t="s">
        <v>509</v>
      </c>
      <c r="C414" s="2">
        <v>291423813488759</v>
      </c>
    </row>
    <row r="415" spans="2:3" x14ac:dyDescent="0.25">
      <c r="B415" t="s">
        <v>510</v>
      </c>
      <c r="C415" s="2">
        <v>146251588310038</v>
      </c>
    </row>
    <row r="416" spans="2:3" x14ac:dyDescent="0.25">
      <c r="B416" t="s">
        <v>511</v>
      </c>
      <c r="C416" s="2">
        <v>629513053138308</v>
      </c>
    </row>
    <row r="417" spans="2:3" x14ac:dyDescent="0.25">
      <c r="B417" t="s">
        <v>512</v>
      </c>
      <c r="C417" s="2">
        <v>821645231739869</v>
      </c>
    </row>
    <row r="418" spans="2:3" x14ac:dyDescent="0.25">
      <c r="B418" t="s">
        <v>513</v>
      </c>
      <c r="C418" s="2">
        <v>708748146579115</v>
      </c>
    </row>
    <row r="419" spans="2:3" x14ac:dyDescent="0.25">
      <c r="B419" t="s">
        <v>514</v>
      </c>
      <c r="C419">
        <v>35600</v>
      </c>
    </row>
    <row r="420" spans="2:3" x14ac:dyDescent="0.25">
      <c r="B420" t="s">
        <v>515</v>
      </c>
      <c r="C420" s="2">
        <v>291423813488759</v>
      </c>
    </row>
    <row r="421" spans="2:3" x14ac:dyDescent="0.25">
      <c r="B421" t="s">
        <v>516</v>
      </c>
      <c r="C421" s="2">
        <v>146251588310038</v>
      </c>
    </row>
    <row r="422" spans="2:3" x14ac:dyDescent="0.25">
      <c r="B422" t="s">
        <v>517</v>
      </c>
      <c r="C422" s="2">
        <v>659137196815405</v>
      </c>
    </row>
    <row r="423" spans="2:3" x14ac:dyDescent="0.25">
      <c r="B423" t="s">
        <v>518</v>
      </c>
      <c r="C423" s="2">
        <v>821645231739869</v>
      </c>
    </row>
    <row r="424" spans="2:3" x14ac:dyDescent="0.25">
      <c r="B424" t="s">
        <v>519</v>
      </c>
      <c r="C424" s="2">
        <v>708748146579115</v>
      </c>
    </row>
    <row r="425" spans="2:3" x14ac:dyDescent="0.25">
      <c r="B425" t="s">
        <v>520</v>
      </c>
      <c r="C425">
        <v>35600</v>
      </c>
    </row>
    <row r="426" spans="2:3" x14ac:dyDescent="0.25">
      <c r="B426" t="s">
        <v>521</v>
      </c>
      <c r="C426" s="2">
        <v>291423813488759</v>
      </c>
    </row>
    <row r="427" spans="2:3" x14ac:dyDescent="0.25">
      <c r="B427" t="s">
        <v>522</v>
      </c>
      <c r="C427" s="2">
        <v>146251588310038</v>
      </c>
    </row>
    <row r="428" spans="2:3" x14ac:dyDescent="0.25">
      <c r="B428" t="s">
        <v>523</v>
      </c>
      <c r="C428" s="2">
        <v>629513053138308</v>
      </c>
    </row>
    <row r="429" spans="2:3" x14ac:dyDescent="0.25">
      <c r="B429" t="s">
        <v>524</v>
      </c>
      <c r="C429" s="2">
        <v>821645231739869</v>
      </c>
    </row>
    <row r="430" spans="2:3" x14ac:dyDescent="0.25">
      <c r="B430" t="s">
        <v>525</v>
      </c>
      <c r="C430" s="2">
        <v>708748146579115</v>
      </c>
    </row>
    <row r="431" spans="2:3" x14ac:dyDescent="0.25">
      <c r="B431" t="s">
        <v>526</v>
      </c>
      <c r="C431">
        <v>35600</v>
      </c>
    </row>
    <row r="432" spans="2:3" x14ac:dyDescent="0.25">
      <c r="B432" t="s">
        <v>527</v>
      </c>
      <c r="C432" s="2">
        <v>291423813488759</v>
      </c>
    </row>
    <row r="433" spans="2:3" x14ac:dyDescent="0.25">
      <c r="B433" t="s">
        <v>528</v>
      </c>
      <c r="C433" s="2">
        <v>146251588310038</v>
      </c>
    </row>
    <row r="434" spans="2:3" x14ac:dyDescent="0.25">
      <c r="B434" t="s">
        <v>529</v>
      </c>
      <c r="C434" s="2">
        <v>659137196815405</v>
      </c>
    </row>
    <row r="435" spans="2:3" x14ac:dyDescent="0.25">
      <c r="B435" t="s">
        <v>530</v>
      </c>
      <c r="C435" s="2">
        <v>821645231739869</v>
      </c>
    </row>
    <row r="436" spans="2:3" x14ac:dyDescent="0.25">
      <c r="B436" t="s">
        <v>531</v>
      </c>
      <c r="C436" s="2">
        <v>708748146579115</v>
      </c>
    </row>
    <row r="437" spans="2:3" x14ac:dyDescent="0.25">
      <c r="B437" t="s">
        <v>532</v>
      </c>
      <c r="C437">
        <v>35600</v>
      </c>
    </row>
    <row r="438" spans="2:3" x14ac:dyDescent="0.25">
      <c r="B438" t="s">
        <v>533</v>
      </c>
      <c r="C438" s="2">
        <v>291423813488759</v>
      </c>
    </row>
    <row r="439" spans="2:3" x14ac:dyDescent="0.25">
      <c r="B439" t="s">
        <v>534</v>
      </c>
      <c r="C439" s="2">
        <v>146251588310038</v>
      </c>
    </row>
    <row r="440" spans="2:3" x14ac:dyDescent="0.25">
      <c r="B440" t="s">
        <v>535</v>
      </c>
      <c r="C440" s="2">
        <v>629513053138308</v>
      </c>
    </row>
    <row r="441" spans="2:3" x14ac:dyDescent="0.25">
      <c r="B441" t="s">
        <v>536</v>
      </c>
      <c r="C441" s="2">
        <v>821645231739869</v>
      </c>
    </row>
    <row r="442" spans="2:3" x14ac:dyDescent="0.25">
      <c r="B442" t="s">
        <v>537</v>
      </c>
      <c r="C442" s="2">
        <v>708748146579115</v>
      </c>
    </row>
    <row r="443" spans="2:3" x14ac:dyDescent="0.25">
      <c r="B443" t="s">
        <v>538</v>
      </c>
      <c r="C443">
        <v>35600</v>
      </c>
    </row>
    <row r="444" spans="2:3" x14ac:dyDescent="0.25">
      <c r="B444" t="s">
        <v>539</v>
      </c>
      <c r="C444" s="2">
        <v>291423813488759</v>
      </c>
    </row>
    <row r="445" spans="2:3" x14ac:dyDescent="0.25">
      <c r="B445" t="s">
        <v>540</v>
      </c>
      <c r="C445" s="2">
        <v>146251588310038</v>
      </c>
    </row>
    <row r="446" spans="2:3" x14ac:dyDescent="0.25">
      <c r="B446" t="s">
        <v>541</v>
      </c>
      <c r="C446" s="2">
        <v>659137196815405</v>
      </c>
    </row>
    <row r="447" spans="2:3" x14ac:dyDescent="0.25">
      <c r="B447" t="s">
        <v>542</v>
      </c>
      <c r="C447" s="2">
        <v>821645231739869</v>
      </c>
    </row>
    <row r="448" spans="2:3" x14ac:dyDescent="0.25">
      <c r="B448" t="s">
        <v>543</v>
      </c>
      <c r="C448" s="2">
        <v>708748146579115</v>
      </c>
    </row>
    <row r="449" spans="2:3" x14ac:dyDescent="0.25">
      <c r="B449" t="s">
        <v>544</v>
      </c>
      <c r="C449">
        <v>35600</v>
      </c>
    </row>
    <row r="450" spans="2:3" x14ac:dyDescent="0.25">
      <c r="B450" t="s">
        <v>545</v>
      </c>
      <c r="C450" s="2">
        <v>291423813488759</v>
      </c>
    </row>
    <row r="451" spans="2:3" x14ac:dyDescent="0.25">
      <c r="B451" t="s">
        <v>546</v>
      </c>
      <c r="C451" s="2">
        <v>146251588310038</v>
      </c>
    </row>
    <row r="452" spans="2:3" x14ac:dyDescent="0.25">
      <c r="B452" t="s">
        <v>547</v>
      </c>
      <c r="C452" s="2">
        <v>629513053138308</v>
      </c>
    </row>
    <row r="453" spans="2:3" x14ac:dyDescent="0.25">
      <c r="B453" t="s">
        <v>548</v>
      </c>
      <c r="C453" s="2">
        <v>821645231739869</v>
      </c>
    </row>
    <row r="454" spans="2:3" x14ac:dyDescent="0.25">
      <c r="B454" t="s">
        <v>549</v>
      </c>
      <c r="C454" s="2">
        <v>708748146579115</v>
      </c>
    </row>
    <row r="455" spans="2:3" x14ac:dyDescent="0.25">
      <c r="B455" t="s">
        <v>550</v>
      </c>
      <c r="C455">
        <v>35600</v>
      </c>
    </row>
    <row r="456" spans="2:3" x14ac:dyDescent="0.25">
      <c r="B456" t="s">
        <v>551</v>
      </c>
      <c r="C456" s="2">
        <v>291423813488759</v>
      </c>
    </row>
    <row r="457" spans="2:3" x14ac:dyDescent="0.25">
      <c r="B457" t="s">
        <v>552</v>
      </c>
      <c r="C457" s="2">
        <v>146251588310038</v>
      </c>
    </row>
    <row r="458" spans="2:3" x14ac:dyDescent="0.25">
      <c r="B458" t="s">
        <v>553</v>
      </c>
      <c r="C458" s="2">
        <v>659137196815405</v>
      </c>
    </row>
    <row r="459" spans="2:3" x14ac:dyDescent="0.25">
      <c r="B459" t="s">
        <v>554</v>
      </c>
      <c r="C459" s="2">
        <v>821645231739869</v>
      </c>
    </row>
    <row r="460" spans="2:3" x14ac:dyDescent="0.25">
      <c r="B460" t="s">
        <v>555</v>
      </c>
      <c r="C460" s="2">
        <v>708748146579115</v>
      </c>
    </row>
    <row r="461" spans="2:3" x14ac:dyDescent="0.25">
      <c r="B461" t="s">
        <v>556</v>
      </c>
      <c r="C461">
        <v>35600</v>
      </c>
    </row>
    <row r="462" spans="2:3" x14ac:dyDescent="0.25">
      <c r="B462" t="s">
        <v>557</v>
      </c>
      <c r="C462" s="2">
        <v>291423813488759</v>
      </c>
    </row>
    <row r="463" spans="2:3" x14ac:dyDescent="0.25">
      <c r="B463" t="s">
        <v>558</v>
      </c>
      <c r="C463" s="2">
        <v>146251588310038</v>
      </c>
    </row>
    <row r="464" spans="2:3" x14ac:dyDescent="0.25">
      <c r="B464" t="s">
        <v>559</v>
      </c>
      <c r="C464" s="2">
        <v>629513053138308</v>
      </c>
    </row>
    <row r="465" spans="2:3" x14ac:dyDescent="0.25">
      <c r="B465" t="s">
        <v>560</v>
      </c>
      <c r="C465" s="2">
        <v>821645231739869</v>
      </c>
    </row>
    <row r="466" spans="2:3" x14ac:dyDescent="0.25">
      <c r="B466" t="s">
        <v>561</v>
      </c>
      <c r="C466" s="2">
        <v>708748146579115</v>
      </c>
    </row>
    <row r="467" spans="2:3" x14ac:dyDescent="0.25">
      <c r="B467" t="s">
        <v>562</v>
      </c>
      <c r="C467">
        <v>35600</v>
      </c>
    </row>
    <row r="468" spans="2:3" x14ac:dyDescent="0.25">
      <c r="B468" t="s">
        <v>563</v>
      </c>
      <c r="C468" s="2">
        <v>291423813488759</v>
      </c>
    </row>
    <row r="469" spans="2:3" x14ac:dyDescent="0.25">
      <c r="B469" t="s">
        <v>564</v>
      </c>
      <c r="C469" s="2">
        <v>146251588310038</v>
      </c>
    </row>
    <row r="470" spans="2:3" x14ac:dyDescent="0.25">
      <c r="B470" t="s">
        <v>565</v>
      </c>
      <c r="C470" s="2">
        <v>659137196815405</v>
      </c>
    </row>
    <row r="471" spans="2:3" x14ac:dyDescent="0.25">
      <c r="B471" t="s">
        <v>566</v>
      </c>
      <c r="C471" s="2">
        <v>821645231739869</v>
      </c>
    </row>
    <row r="472" spans="2:3" x14ac:dyDescent="0.25">
      <c r="B472" t="s">
        <v>567</v>
      </c>
      <c r="C472" s="2">
        <v>708748146579115</v>
      </c>
    </row>
    <row r="473" spans="2:3" x14ac:dyDescent="0.25">
      <c r="B473" t="s">
        <v>568</v>
      </c>
      <c r="C473">
        <v>35600</v>
      </c>
    </row>
    <row r="474" spans="2:3" x14ac:dyDescent="0.25">
      <c r="B474" t="s">
        <v>569</v>
      </c>
      <c r="C474" s="2">
        <v>291423813488759</v>
      </c>
    </row>
    <row r="475" spans="2:3" x14ac:dyDescent="0.25">
      <c r="B475" t="s">
        <v>570</v>
      </c>
      <c r="C475" s="2">
        <v>146251588310038</v>
      </c>
    </row>
    <row r="476" spans="2:3" x14ac:dyDescent="0.25">
      <c r="B476" t="s">
        <v>571</v>
      </c>
      <c r="C476" s="2">
        <v>629513053138308</v>
      </c>
    </row>
    <row r="477" spans="2:3" x14ac:dyDescent="0.25">
      <c r="B477" t="s">
        <v>572</v>
      </c>
      <c r="C477" s="2">
        <v>821645231739869</v>
      </c>
    </row>
    <row r="478" spans="2:3" x14ac:dyDescent="0.25">
      <c r="B478" t="s">
        <v>573</v>
      </c>
      <c r="C478" s="2">
        <v>708748146579115</v>
      </c>
    </row>
    <row r="479" spans="2:3" x14ac:dyDescent="0.25">
      <c r="B479" t="s">
        <v>574</v>
      </c>
      <c r="C479">
        <v>35600</v>
      </c>
    </row>
    <row r="480" spans="2:3" x14ac:dyDescent="0.25">
      <c r="B480" t="s">
        <v>575</v>
      </c>
      <c r="C480" s="2">
        <v>291423813488759</v>
      </c>
    </row>
    <row r="481" spans="2:3" x14ac:dyDescent="0.25">
      <c r="B481" t="s">
        <v>576</v>
      </c>
      <c r="C481" s="2">
        <v>146251588310038</v>
      </c>
    </row>
    <row r="482" spans="2:3" x14ac:dyDescent="0.25">
      <c r="B482" t="s">
        <v>577</v>
      </c>
      <c r="C482" s="2">
        <v>659137196815405</v>
      </c>
    </row>
    <row r="483" spans="2:3" x14ac:dyDescent="0.25">
      <c r="B483" t="s">
        <v>578</v>
      </c>
      <c r="C483" s="2">
        <v>821645231739869</v>
      </c>
    </row>
    <row r="484" spans="2:3" x14ac:dyDescent="0.25">
      <c r="B484" t="s">
        <v>579</v>
      </c>
      <c r="C484" s="2">
        <v>708748146579115</v>
      </c>
    </row>
    <row r="485" spans="2:3" x14ac:dyDescent="0.25">
      <c r="B485" t="s">
        <v>580</v>
      </c>
      <c r="C485">
        <v>35600</v>
      </c>
    </row>
    <row r="486" spans="2:3" x14ac:dyDescent="0.25">
      <c r="B486" t="s">
        <v>581</v>
      </c>
      <c r="C486" s="2">
        <v>291423813488759</v>
      </c>
    </row>
    <row r="487" spans="2:3" x14ac:dyDescent="0.25">
      <c r="B487" t="s">
        <v>582</v>
      </c>
      <c r="C487" s="2">
        <v>146251588310038</v>
      </c>
    </row>
    <row r="488" spans="2:3" x14ac:dyDescent="0.25">
      <c r="B488" t="s">
        <v>583</v>
      </c>
      <c r="C488" s="2">
        <v>629513053138308</v>
      </c>
    </row>
    <row r="489" spans="2:3" x14ac:dyDescent="0.25">
      <c r="B489" t="s">
        <v>584</v>
      </c>
      <c r="C489" s="2">
        <v>821645231739869</v>
      </c>
    </row>
    <row r="490" spans="2:3" x14ac:dyDescent="0.25">
      <c r="B490" t="s">
        <v>585</v>
      </c>
      <c r="C490" s="2">
        <v>708748146579115</v>
      </c>
    </row>
    <row r="491" spans="2:3" x14ac:dyDescent="0.25">
      <c r="B491" t="s">
        <v>586</v>
      </c>
      <c r="C491">
        <v>35600</v>
      </c>
    </row>
    <row r="492" spans="2:3" x14ac:dyDescent="0.25">
      <c r="B492" t="s">
        <v>587</v>
      </c>
      <c r="C492" s="2">
        <v>291423813488759</v>
      </c>
    </row>
    <row r="493" spans="2:3" x14ac:dyDescent="0.25">
      <c r="B493" t="s">
        <v>588</v>
      </c>
      <c r="C493" s="2">
        <v>146251588310038</v>
      </c>
    </row>
    <row r="494" spans="2:3" x14ac:dyDescent="0.25">
      <c r="B494" t="s">
        <v>589</v>
      </c>
      <c r="C494" s="2">
        <v>659137196815405</v>
      </c>
    </row>
    <row r="495" spans="2:3" x14ac:dyDescent="0.25">
      <c r="B495" t="s">
        <v>590</v>
      </c>
      <c r="C495" s="2">
        <v>821645231739869</v>
      </c>
    </row>
    <row r="496" spans="2:3" x14ac:dyDescent="0.25">
      <c r="B496" t="s">
        <v>591</v>
      </c>
      <c r="C496" s="2">
        <v>708748146579115</v>
      </c>
    </row>
    <row r="497" spans="2:3" x14ac:dyDescent="0.25">
      <c r="B497" t="s">
        <v>592</v>
      </c>
      <c r="C497">
        <v>35600</v>
      </c>
    </row>
    <row r="498" spans="2:3" x14ac:dyDescent="0.25">
      <c r="B498" t="s">
        <v>593</v>
      </c>
      <c r="C498" s="2">
        <v>291423813488759</v>
      </c>
    </row>
    <row r="499" spans="2:3" x14ac:dyDescent="0.25">
      <c r="B499" t="s">
        <v>594</v>
      </c>
      <c r="C499" s="2">
        <v>146251588310038</v>
      </c>
    </row>
    <row r="500" spans="2:3" x14ac:dyDescent="0.25">
      <c r="B500" t="s">
        <v>595</v>
      </c>
      <c r="C500" s="2">
        <v>629513053138308</v>
      </c>
    </row>
    <row r="501" spans="2:3" x14ac:dyDescent="0.25">
      <c r="B501" t="s">
        <v>596</v>
      </c>
      <c r="C501" s="2">
        <v>821645231739869</v>
      </c>
    </row>
    <row r="502" spans="2:3" x14ac:dyDescent="0.25">
      <c r="B502" t="s">
        <v>597</v>
      </c>
      <c r="C502" s="2">
        <v>708748146579115</v>
      </c>
    </row>
    <row r="503" spans="2:3" x14ac:dyDescent="0.25">
      <c r="B503" t="s">
        <v>598</v>
      </c>
      <c r="C503">
        <v>35600</v>
      </c>
    </row>
    <row r="504" spans="2:3" x14ac:dyDescent="0.25">
      <c r="B504" t="s">
        <v>599</v>
      </c>
      <c r="C504" s="2">
        <v>291423813488759</v>
      </c>
    </row>
    <row r="505" spans="2:3" x14ac:dyDescent="0.25">
      <c r="B505" t="s">
        <v>600</v>
      </c>
      <c r="C505" s="2">
        <v>146251588310038</v>
      </c>
    </row>
    <row r="506" spans="2:3" x14ac:dyDescent="0.25">
      <c r="B506" t="s">
        <v>601</v>
      </c>
      <c r="C506" s="2">
        <v>150153009180551</v>
      </c>
    </row>
    <row r="507" spans="2:3" x14ac:dyDescent="0.25">
      <c r="B507" t="s">
        <v>602</v>
      </c>
      <c r="C507" s="2">
        <v>66002232498804</v>
      </c>
    </row>
    <row r="508" spans="2:3" x14ac:dyDescent="0.25">
      <c r="B508" t="s">
        <v>603</v>
      </c>
      <c r="C508" s="2">
        <v>408680303187623</v>
      </c>
    </row>
    <row r="509" spans="2:3" x14ac:dyDescent="0.25">
      <c r="B509" t="s">
        <v>604</v>
      </c>
      <c r="C509" s="2">
        <v>699880972623703</v>
      </c>
    </row>
    <row r="510" spans="2:3" x14ac:dyDescent="0.25">
      <c r="B510" t="s">
        <v>605</v>
      </c>
      <c r="C510" s="2">
        <v>117537418808246</v>
      </c>
    </row>
    <row r="511" spans="2:3" x14ac:dyDescent="0.25">
      <c r="B511" t="s">
        <v>606</v>
      </c>
      <c r="C511">
        <v>44160</v>
      </c>
    </row>
    <row r="512" spans="2:3" x14ac:dyDescent="0.25">
      <c r="B512" t="s">
        <v>607</v>
      </c>
      <c r="C512" s="2">
        <v>950124688279302</v>
      </c>
    </row>
    <row r="513" spans="2:3" x14ac:dyDescent="0.25">
      <c r="B513" t="s">
        <v>608</v>
      </c>
      <c r="C513" s="2">
        <v>100469201154957</v>
      </c>
    </row>
    <row r="514" spans="2:3" x14ac:dyDescent="0.25">
      <c r="B514" t="s">
        <v>609</v>
      </c>
      <c r="C514" s="2">
        <v>132544378698225</v>
      </c>
    </row>
    <row r="515" spans="2:3" x14ac:dyDescent="0.25">
      <c r="B515" t="s">
        <v>610</v>
      </c>
      <c r="C515" s="2">
        <v>950124688279302</v>
      </c>
    </row>
    <row r="516" spans="2:3" x14ac:dyDescent="0.25">
      <c r="B516" t="s">
        <v>611</v>
      </c>
      <c r="C516" s="2">
        <v>159092620481928</v>
      </c>
    </row>
    <row r="517" spans="2:3" x14ac:dyDescent="0.25">
      <c r="B517" t="s">
        <v>612</v>
      </c>
      <c r="C517">
        <v>44160</v>
      </c>
    </row>
    <row r="518" spans="2:3" x14ac:dyDescent="0.25">
      <c r="B518" t="s">
        <v>613</v>
      </c>
      <c r="C518" s="2">
        <v>150153009180551</v>
      </c>
    </row>
    <row r="519" spans="2:3" x14ac:dyDescent="0.25">
      <c r="B519" t="s">
        <v>614</v>
      </c>
      <c r="C519" s="2">
        <v>66002232498804</v>
      </c>
    </row>
    <row r="520" spans="2:3" x14ac:dyDescent="0.25">
      <c r="B520" t="s">
        <v>615</v>
      </c>
      <c r="C520" s="2">
        <v>408680303187623</v>
      </c>
    </row>
    <row r="521" spans="2:3" x14ac:dyDescent="0.25">
      <c r="B521" t="s">
        <v>616</v>
      </c>
      <c r="C521" s="2">
        <v>699880972623703</v>
      </c>
    </row>
    <row r="522" spans="2:3" x14ac:dyDescent="0.25">
      <c r="B522" t="s">
        <v>617</v>
      </c>
      <c r="C522" s="2">
        <v>117537418808246</v>
      </c>
    </row>
    <row r="523" spans="2:3" x14ac:dyDescent="0.25">
      <c r="B523" t="s">
        <v>618</v>
      </c>
      <c r="C523">
        <v>44160</v>
      </c>
    </row>
    <row r="524" spans="2:3" x14ac:dyDescent="0.25">
      <c r="B524" t="s">
        <v>619</v>
      </c>
      <c r="C524" s="2">
        <v>950124688279302</v>
      </c>
    </row>
    <row r="525" spans="2:3" x14ac:dyDescent="0.25">
      <c r="B525" t="s">
        <v>620</v>
      </c>
      <c r="C525" s="2">
        <v>100469201154957</v>
      </c>
    </row>
    <row r="526" spans="2:3" x14ac:dyDescent="0.25">
      <c r="B526" t="s">
        <v>621</v>
      </c>
      <c r="C526" s="2">
        <v>132544378698225</v>
      </c>
    </row>
    <row r="527" spans="2:3" x14ac:dyDescent="0.25">
      <c r="B527" t="s">
        <v>622</v>
      </c>
      <c r="C527" s="2">
        <v>950124688279302</v>
      </c>
    </row>
    <row r="528" spans="2:3" x14ac:dyDescent="0.25">
      <c r="B528" t="s">
        <v>623</v>
      </c>
      <c r="C528" s="2">
        <v>159092620481928</v>
      </c>
    </row>
    <row r="529" spans="2:3" x14ac:dyDescent="0.25">
      <c r="B529" t="s">
        <v>624</v>
      </c>
      <c r="C529">
        <v>44160</v>
      </c>
    </row>
    <row r="530" spans="2:3" x14ac:dyDescent="0.25">
      <c r="B530" t="s">
        <v>625</v>
      </c>
      <c r="C530" s="2">
        <v>150153009180551</v>
      </c>
    </row>
    <row r="531" spans="2:3" x14ac:dyDescent="0.25">
      <c r="B531" t="s">
        <v>626</v>
      </c>
      <c r="C531" s="2">
        <v>66002232498804</v>
      </c>
    </row>
    <row r="532" spans="2:3" x14ac:dyDescent="0.25">
      <c r="B532" t="s">
        <v>627</v>
      </c>
      <c r="C532" s="2">
        <v>408680303187623</v>
      </c>
    </row>
    <row r="533" spans="2:3" x14ac:dyDescent="0.25">
      <c r="B533" t="s">
        <v>628</v>
      </c>
      <c r="C533" s="2">
        <v>699880972623703</v>
      </c>
    </row>
    <row r="534" spans="2:3" x14ac:dyDescent="0.25">
      <c r="B534" t="s">
        <v>629</v>
      </c>
      <c r="C534" s="2">
        <v>117537418808246</v>
      </c>
    </row>
    <row r="535" spans="2:3" x14ac:dyDescent="0.25">
      <c r="B535" t="s">
        <v>630</v>
      </c>
      <c r="C535">
        <v>44160</v>
      </c>
    </row>
    <row r="536" spans="2:3" x14ac:dyDescent="0.25">
      <c r="B536" t="s">
        <v>631</v>
      </c>
      <c r="C536" s="2">
        <v>950124688279302</v>
      </c>
    </row>
    <row r="537" spans="2:3" x14ac:dyDescent="0.25">
      <c r="B537" t="s">
        <v>632</v>
      </c>
      <c r="C537" s="2">
        <v>100469201154957</v>
      </c>
    </row>
    <row r="538" spans="2:3" x14ac:dyDescent="0.25">
      <c r="B538" t="s">
        <v>633</v>
      </c>
      <c r="C538" s="2">
        <v>132544378698225</v>
      </c>
    </row>
    <row r="539" spans="2:3" x14ac:dyDescent="0.25">
      <c r="B539" t="s">
        <v>634</v>
      </c>
      <c r="C539" s="2">
        <v>950124688279302</v>
      </c>
    </row>
    <row r="540" spans="2:3" x14ac:dyDescent="0.25">
      <c r="B540" t="s">
        <v>635</v>
      </c>
      <c r="C540" s="2">
        <v>159092620481928</v>
      </c>
    </row>
    <row r="541" spans="2:3" x14ac:dyDescent="0.25">
      <c r="B541" t="s">
        <v>636</v>
      </c>
      <c r="C541">
        <v>44160</v>
      </c>
    </row>
    <row r="542" spans="2:3" x14ac:dyDescent="0.25">
      <c r="B542" t="s">
        <v>637</v>
      </c>
      <c r="C542" s="2">
        <v>150153009180551</v>
      </c>
    </row>
    <row r="543" spans="2:3" x14ac:dyDescent="0.25">
      <c r="B543" t="s">
        <v>638</v>
      </c>
      <c r="C543" s="2">
        <v>66002232498804</v>
      </c>
    </row>
    <row r="544" spans="2:3" x14ac:dyDescent="0.25">
      <c r="B544" t="s">
        <v>639</v>
      </c>
      <c r="C544" s="2">
        <v>408680303187623</v>
      </c>
    </row>
    <row r="545" spans="2:3" x14ac:dyDescent="0.25">
      <c r="B545" t="s">
        <v>640</v>
      </c>
      <c r="C545" s="2">
        <v>699880972623703</v>
      </c>
    </row>
    <row r="546" spans="2:3" x14ac:dyDescent="0.25">
      <c r="B546" t="s">
        <v>641</v>
      </c>
      <c r="C546" s="2">
        <v>117537418808246</v>
      </c>
    </row>
    <row r="547" spans="2:3" x14ac:dyDescent="0.25">
      <c r="B547" t="s">
        <v>642</v>
      </c>
      <c r="C547">
        <v>44160</v>
      </c>
    </row>
    <row r="548" spans="2:3" x14ac:dyDescent="0.25">
      <c r="B548" t="s">
        <v>643</v>
      </c>
      <c r="C548" s="2">
        <v>950124688279302</v>
      </c>
    </row>
    <row r="549" spans="2:3" x14ac:dyDescent="0.25">
      <c r="B549" t="s">
        <v>644</v>
      </c>
      <c r="C549" s="2">
        <v>100469201154957</v>
      </c>
    </row>
    <row r="550" spans="2:3" x14ac:dyDescent="0.25">
      <c r="B550" t="s">
        <v>645</v>
      </c>
      <c r="C550" s="2">
        <v>132544378698225</v>
      </c>
    </row>
    <row r="551" spans="2:3" x14ac:dyDescent="0.25">
      <c r="B551" t="s">
        <v>646</v>
      </c>
      <c r="C551" s="2">
        <v>950124688279302</v>
      </c>
    </row>
    <row r="552" spans="2:3" x14ac:dyDescent="0.25">
      <c r="B552" t="s">
        <v>647</v>
      </c>
      <c r="C552" s="2">
        <v>159092620481928</v>
      </c>
    </row>
    <row r="553" spans="2:3" x14ac:dyDescent="0.25">
      <c r="B553" t="s">
        <v>648</v>
      </c>
      <c r="C553">
        <v>44160</v>
      </c>
    </row>
    <row r="554" spans="2:3" x14ac:dyDescent="0.25">
      <c r="B554" t="s">
        <v>649</v>
      </c>
      <c r="C554" s="2">
        <v>150153009180551</v>
      </c>
    </row>
    <row r="555" spans="2:3" x14ac:dyDescent="0.25">
      <c r="B555" t="s">
        <v>650</v>
      </c>
      <c r="C555" s="2">
        <v>66002232498804</v>
      </c>
    </row>
    <row r="556" spans="2:3" x14ac:dyDescent="0.25">
      <c r="B556" t="s">
        <v>651</v>
      </c>
      <c r="C556" s="2">
        <v>408680303187623</v>
      </c>
    </row>
    <row r="557" spans="2:3" x14ac:dyDescent="0.25">
      <c r="B557" t="s">
        <v>652</v>
      </c>
      <c r="C557" s="2">
        <v>699880972623703</v>
      </c>
    </row>
    <row r="558" spans="2:3" x14ac:dyDescent="0.25">
      <c r="B558" t="s">
        <v>653</v>
      </c>
      <c r="C558" s="2">
        <v>117537418808246</v>
      </c>
    </row>
    <row r="559" spans="2:3" x14ac:dyDescent="0.25">
      <c r="B559" t="s">
        <v>654</v>
      </c>
      <c r="C559">
        <v>44160</v>
      </c>
    </row>
    <row r="560" spans="2:3" x14ac:dyDescent="0.25">
      <c r="B560" t="s">
        <v>655</v>
      </c>
      <c r="C560" s="2">
        <v>950124688279302</v>
      </c>
    </row>
    <row r="561" spans="2:3" x14ac:dyDescent="0.25">
      <c r="B561" t="s">
        <v>656</v>
      </c>
      <c r="C561" s="2">
        <v>100469201154957</v>
      </c>
    </row>
    <row r="562" spans="2:3" x14ac:dyDescent="0.25">
      <c r="B562" t="s">
        <v>657</v>
      </c>
      <c r="C562" s="2">
        <v>132544378698225</v>
      </c>
    </row>
    <row r="563" spans="2:3" x14ac:dyDescent="0.25">
      <c r="B563" t="s">
        <v>658</v>
      </c>
      <c r="C563" s="2">
        <v>950124688279302</v>
      </c>
    </row>
    <row r="564" spans="2:3" x14ac:dyDescent="0.25">
      <c r="B564" t="s">
        <v>659</v>
      </c>
      <c r="C564" s="2">
        <v>159092620481928</v>
      </c>
    </row>
    <row r="565" spans="2:3" x14ac:dyDescent="0.25">
      <c r="B565" t="s">
        <v>660</v>
      </c>
      <c r="C565">
        <v>44160</v>
      </c>
    </row>
    <row r="566" spans="2:3" x14ac:dyDescent="0.25">
      <c r="B566" t="s">
        <v>661</v>
      </c>
      <c r="C566" s="2">
        <v>150153009180551</v>
      </c>
    </row>
    <row r="567" spans="2:3" x14ac:dyDescent="0.25">
      <c r="B567" t="s">
        <v>662</v>
      </c>
      <c r="C567" s="2">
        <v>66002232498804</v>
      </c>
    </row>
    <row r="568" spans="2:3" x14ac:dyDescent="0.25">
      <c r="B568" t="s">
        <v>663</v>
      </c>
      <c r="C568" s="2">
        <v>408680303187623</v>
      </c>
    </row>
    <row r="569" spans="2:3" x14ac:dyDescent="0.25">
      <c r="B569" t="s">
        <v>664</v>
      </c>
      <c r="C569" s="2">
        <v>699880972623703</v>
      </c>
    </row>
    <row r="570" spans="2:3" x14ac:dyDescent="0.25">
      <c r="B570" t="s">
        <v>665</v>
      </c>
      <c r="C570" s="2">
        <v>117537418808246</v>
      </c>
    </row>
    <row r="571" spans="2:3" x14ac:dyDescent="0.25">
      <c r="B571" t="s">
        <v>666</v>
      </c>
      <c r="C571">
        <v>44160</v>
      </c>
    </row>
    <row r="572" spans="2:3" x14ac:dyDescent="0.25">
      <c r="B572" t="s">
        <v>667</v>
      </c>
      <c r="C572" s="2">
        <v>950124688279302</v>
      </c>
    </row>
    <row r="573" spans="2:3" x14ac:dyDescent="0.25">
      <c r="B573" t="s">
        <v>668</v>
      </c>
      <c r="C573" s="2">
        <v>100469201154957</v>
      </c>
    </row>
    <row r="574" spans="2:3" x14ac:dyDescent="0.25">
      <c r="B574" t="s">
        <v>669</v>
      </c>
      <c r="C574" s="2">
        <v>132544378698225</v>
      </c>
    </row>
    <row r="575" spans="2:3" x14ac:dyDescent="0.25">
      <c r="B575" t="s">
        <v>670</v>
      </c>
      <c r="C575" s="2">
        <v>950124688279302</v>
      </c>
    </row>
    <row r="576" spans="2:3" x14ac:dyDescent="0.25">
      <c r="B576" t="s">
        <v>671</v>
      </c>
      <c r="C576" s="2">
        <v>159092620481928</v>
      </c>
    </row>
    <row r="577" spans="2:3" x14ac:dyDescent="0.25">
      <c r="B577" t="s">
        <v>672</v>
      </c>
      <c r="C577">
        <v>44160</v>
      </c>
    </row>
    <row r="578" spans="2:3" x14ac:dyDescent="0.25">
      <c r="B578" t="s">
        <v>673</v>
      </c>
      <c r="C578" s="2">
        <v>150153009180551</v>
      </c>
    </row>
    <row r="579" spans="2:3" x14ac:dyDescent="0.25">
      <c r="B579" t="s">
        <v>674</v>
      </c>
      <c r="C579" s="2">
        <v>66002232498804</v>
      </c>
    </row>
    <row r="580" spans="2:3" x14ac:dyDescent="0.25">
      <c r="B580" t="s">
        <v>675</v>
      </c>
      <c r="C580" s="2">
        <v>408680303187623</v>
      </c>
    </row>
    <row r="581" spans="2:3" x14ac:dyDescent="0.25">
      <c r="B581" t="s">
        <v>676</v>
      </c>
      <c r="C581" s="2">
        <v>699880972623703</v>
      </c>
    </row>
    <row r="582" spans="2:3" x14ac:dyDescent="0.25">
      <c r="B582" t="s">
        <v>677</v>
      </c>
      <c r="C582" s="2">
        <v>117537418808246</v>
      </c>
    </row>
    <row r="583" spans="2:3" x14ac:dyDescent="0.25">
      <c r="B583" t="s">
        <v>678</v>
      </c>
      <c r="C583">
        <v>44160</v>
      </c>
    </row>
    <row r="584" spans="2:3" x14ac:dyDescent="0.25">
      <c r="B584" t="s">
        <v>679</v>
      </c>
      <c r="C584" s="2">
        <v>950124688279302</v>
      </c>
    </row>
    <row r="585" spans="2:3" x14ac:dyDescent="0.25">
      <c r="B585" t="s">
        <v>680</v>
      </c>
      <c r="C585" s="2">
        <v>100469201154957</v>
      </c>
    </row>
    <row r="586" spans="2:3" x14ac:dyDescent="0.25">
      <c r="B586" t="s">
        <v>681</v>
      </c>
      <c r="C586" s="2">
        <v>132544378698225</v>
      </c>
    </row>
    <row r="587" spans="2:3" x14ac:dyDescent="0.25">
      <c r="B587" t="s">
        <v>682</v>
      </c>
      <c r="C587" s="2">
        <v>950124688279302</v>
      </c>
    </row>
    <row r="588" spans="2:3" x14ac:dyDescent="0.25">
      <c r="B588" t="s">
        <v>683</v>
      </c>
      <c r="C588" s="2">
        <v>159092620481928</v>
      </c>
    </row>
    <row r="589" spans="2:3" x14ac:dyDescent="0.25">
      <c r="B589" t="s">
        <v>684</v>
      </c>
      <c r="C589">
        <v>44160</v>
      </c>
    </row>
    <row r="590" spans="2:3" x14ac:dyDescent="0.25">
      <c r="B590" t="s">
        <v>685</v>
      </c>
      <c r="C590" s="2">
        <v>150153009180551</v>
      </c>
    </row>
    <row r="591" spans="2:3" x14ac:dyDescent="0.25">
      <c r="B591" t="s">
        <v>686</v>
      </c>
      <c r="C591" s="2">
        <v>66002232498804</v>
      </c>
    </row>
    <row r="592" spans="2:3" x14ac:dyDescent="0.25">
      <c r="B592" t="s">
        <v>687</v>
      </c>
      <c r="C592" s="2">
        <v>408680303187623</v>
      </c>
    </row>
    <row r="593" spans="2:3" x14ac:dyDescent="0.25">
      <c r="B593" t="s">
        <v>688</v>
      </c>
      <c r="C593" s="2">
        <v>699880972623703</v>
      </c>
    </row>
    <row r="594" spans="2:3" x14ac:dyDescent="0.25">
      <c r="B594" t="s">
        <v>689</v>
      </c>
      <c r="C594" s="2">
        <v>117537418808246</v>
      </c>
    </row>
    <row r="595" spans="2:3" x14ac:dyDescent="0.25">
      <c r="B595" t="s">
        <v>690</v>
      </c>
      <c r="C595">
        <v>44160</v>
      </c>
    </row>
    <row r="596" spans="2:3" x14ac:dyDescent="0.25">
      <c r="B596" t="s">
        <v>691</v>
      </c>
      <c r="C596" s="2">
        <v>950124688279302</v>
      </c>
    </row>
    <row r="597" spans="2:3" x14ac:dyDescent="0.25">
      <c r="B597" t="s">
        <v>692</v>
      </c>
      <c r="C597" s="2">
        <v>100469201154957</v>
      </c>
    </row>
    <row r="598" spans="2:3" x14ac:dyDescent="0.25">
      <c r="B598" t="s">
        <v>693</v>
      </c>
      <c r="C598" s="2">
        <v>132544378698225</v>
      </c>
    </row>
    <row r="599" spans="2:3" x14ac:dyDescent="0.25">
      <c r="B599" t="s">
        <v>694</v>
      </c>
      <c r="C599" s="2">
        <v>950124688279302</v>
      </c>
    </row>
    <row r="600" spans="2:3" x14ac:dyDescent="0.25">
      <c r="B600" t="s">
        <v>695</v>
      </c>
      <c r="C600" s="2">
        <v>159092620481928</v>
      </c>
    </row>
    <row r="601" spans="2:3" x14ac:dyDescent="0.25">
      <c r="B601" t="s">
        <v>696</v>
      </c>
      <c r="C601">
        <v>44160</v>
      </c>
    </row>
    <row r="602" spans="2:3" x14ac:dyDescent="0.25">
      <c r="B602" t="s">
        <v>697</v>
      </c>
      <c r="C602" s="2">
        <v>160149608976539</v>
      </c>
    </row>
    <row r="603" spans="2:3" x14ac:dyDescent="0.25">
      <c r="B603" t="s">
        <v>698</v>
      </c>
      <c r="C603" s="2">
        <v>695263913251475</v>
      </c>
    </row>
    <row r="604" spans="2:3" x14ac:dyDescent="0.25">
      <c r="B604" t="s">
        <v>699</v>
      </c>
      <c r="C604" s="2">
        <v>438895234139757</v>
      </c>
    </row>
    <row r="605" spans="2:3" x14ac:dyDescent="0.25">
      <c r="B605" t="s">
        <v>700</v>
      </c>
      <c r="C605" s="2">
        <v>751912939976194</v>
      </c>
    </row>
    <row r="606" spans="2:3" x14ac:dyDescent="0.25">
      <c r="B606" t="s">
        <v>701</v>
      </c>
      <c r="C606" s="2">
        <v>130189212086981</v>
      </c>
    </row>
    <row r="607" spans="2:3" x14ac:dyDescent="0.25">
      <c r="B607" t="s">
        <v>702</v>
      </c>
      <c r="C607">
        <v>47100</v>
      </c>
    </row>
    <row r="608" spans="2:3" x14ac:dyDescent="0.25">
      <c r="B608" t="s">
        <v>703</v>
      </c>
      <c r="C608" s="2">
        <v>101881659487645</v>
      </c>
    </row>
    <row r="609" spans="2:3" x14ac:dyDescent="0.25">
      <c r="B609" t="s">
        <v>704</v>
      </c>
      <c r="C609" s="2">
        <v>109119345524543</v>
      </c>
    </row>
    <row r="610" spans="2:3" x14ac:dyDescent="0.25">
      <c r="B610" t="s">
        <v>705</v>
      </c>
      <c r="C610" s="2">
        <v>141669261912177</v>
      </c>
    </row>
    <row r="611" spans="2:3" x14ac:dyDescent="0.25">
      <c r="B611" t="s">
        <v>706</v>
      </c>
      <c r="C611" s="2">
        <v>101881659487645</v>
      </c>
    </row>
    <row r="612" spans="2:3" x14ac:dyDescent="0.25">
      <c r="B612" t="s">
        <v>707</v>
      </c>
      <c r="C612" s="2">
        <v>174510542168675</v>
      </c>
    </row>
    <row r="613" spans="2:3" x14ac:dyDescent="0.25">
      <c r="B613" t="s">
        <v>708</v>
      </c>
      <c r="C613">
        <v>47100</v>
      </c>
    </row>
    <row r="614" spans="2:3" x14ac:dyDescent="0.25">
      <c r="B614" t="s">
        <v>709</v>
      </c>
      <c r="C614" s="2">
        <v>160149608976539</v>
      </c>
    </row>
    <row r="615" spans="2:3" x14ac:dyDescent="0.25">
      <c r="B615" t="s">
        <v>710</v>
      </c>
      <c r="C615" s="2">
        <v>695263913251475</v>
      </c>
    </row>
    <row r="616" spans="2:3" x14ac:dyDescent="0.25">
      <c r="B616" t="s">
        <v>711</v>
      </c>
      <c r="C616" s="2">
        <v>438895234139757</v>
      </c>
    </row>
    <row r="617" spans="2:3" x14ac:dyDescent="0.25">
      <c r="B617" t="s">
        <v>712</v>
      </c>
      <c r="C617" s="2">
        <v>751912939976194</v>
      </c>
    </row>
    <row r="618" spans="2:3" x14ac:dyDescent="0.25">
      <c r="B618" t="s">
        <v>713</v>
      </c>
      <c r="C618" s="2">
        <v>130189212086981</v>
      </c>
    </row>
    <row r="619" spans="2:3" x14ac:dyDescent="0.25">
      <c r="B619" t="s">
        <v>714</v>
      </c>
      <c r="C619">
        <v>47100</v>
      </c>
    </row>
    <row r="620" spans="2:3" x14ac:dyDescent="0.25">
      <c r="B620" t="s">
        <v>715</v>
      </c>
      <c r="C620" s="2">
        <v>101881659487645</v>
      </c>
    </row>
    <row r="621" spans="2:3" x14ac:dyDescent="0.25">
      <c r="B621" t="s">
        <v>716</v>
      </c>
      <c r="C621" s="2">
        <v>109119345524543</v>
      </c>
    </row>
    <row r="622" spans="2:3" x14ac:dyDescent="0.25">
      <c r="B622" t="s">
        <v>717</v>
      </c>
      <c r="C622" s="2">
        <v>141669261912177</v>
      </c>
    </row>
    <row r="623" spans="2:3" x14ac:dyDescent="0.25">
      <c r="B623" t="s">
        <v>718</v>
      </c>
      <c r="C623" s="2">
        <v>101881659487645</v>
      </c>
    </row>
    <row r="624" spans="2:3" x14ac:dyDescent="0.25">
      <c r="B624" t="s">
        <v>719</v>
      </c>
      <c r="C624" s="2">
        <v>174510542168675</v>
      </c>
    </row>
    <row r="625" spans="2:3" x14ac:dyDescent="0.25">
      <c r="B625" t="s">
        <v>720</v>
      </c>
      <c r="C625">
        <v>47100</v>
      </c>
    </row>
    <row r="626" spans="2:3" x14ac:dyDescent="0.25">
      <c r="B626" t="s">
        <v>721</v>
      </c>
      <c r="C626" s="2">
        <v>160149608976539</v>
      </c>
    </row>
    <row r="627" spans="2:3" x14ac:dyDescent="0.25">
      <c r="B627" t="s">
        <v>722</v>
      </c>
      <c r="C627" s="2">
        <v>695263913251475</v>
      </c>
    </row>
    <row r="628" spans="2:3" x14ac:dyDescent="0.25">
      <c r="B628" t="s">
        <v>723</v>
      </c>
      <c r="C628" s="2">
        <v>438895234139757</v>
      </c>
    </row>
    <row r="629" spans="2:3" x14ac:dyDescent="0.25">
      <c r="B629" t="s">
        <v>724</v>
      </c>
      <c r="C629" s="2">
        <v>751912939976194</v>
      </c>
    </row>
    <row r="630" spans="2:3" x14ac:dyDescent="0.25">
      <c r="B630" t="s">
        <v>725</v>
      </c>
      <c r="C630" s="2">
        <v>130189212086981</v>
      </c>
    </row>
    <row r="631" spans="2:3" x14ac:dyDescent="0.25">
      <c r="B631" t="s">
        <v>726</v>
      </c>
      <c r="C631">
        <v>47100</v>
      </c>
    </row>
    <row r="632" spans="2:3" x14ac:dyDescent="0.25">
      <c r="B632" t="s">
        <v>727</v>
      </c>
      <c r="C632" s="2">
        <v>101881659487645</v>
      </c>
    </row>
    <row r="633" spans="2:3" x14ac:dyDescent="0.25">
      <c r="B633" t="s">
        <v>728</v>
      </c>
      <c r="C633" s="2">
        <v>109119345524543</v>
      </c>
    </row>
    <row r="634" spans="2:3" x14ac:dyDescent="0.25">
      <c r="B634" t="s">
        <v>729</v>
      </c>
      <c r="C634" s="2">
        <v>141669261912177</v>
      </c>
    </row>
    <row r="635" spans="2:3" x14ac:dyDescent="0.25">
      <c r="B635" t="s">
        <v>730</v>
      </c>
      <c r="C635" s="2">
        <v>101881659487645</v>
      </c>
    </row>
    <row r="636" spans="2:3" x14ac:dyDescent="0.25">
      <c r="B636" t="s">
        <v>731</v>
      </c>
      <c r="C636" s="2">
        <v>174510542168675</v>
      </c>
    </row>
    <row r="637" spans="2:3" x14ac:dyDescent="0.25">
      <c r="B637" t="s">
        <v>732</v>
      </c>
      <c r="C637">
        <v>47100</v>
      </c>
    </row>
    <row r="638" spans="2:3" x14ac:dyDescent="0.25">
      <c r="B638" t="s">
        <v>733</v>
      </c>
      <c r="C638" s="2">
        <v>160149608976539</v>
      </c>
    </row>
    <row r="639" spans="2:3" x14ac:dyDescent="0.25">
      <c r="B639" t="s">
        <v>734</v>
      </c>
      <c r="C639" s="2">
        <v>695263913251475</v>
      </c>
    </row>
    <row r="640" spans="2:3" x14ac:dyDescent="0.25">
      <c r="B640" t="s">
        <v>735</v>
      </c>
      <c r="C640" s="2">
        <v>438895234139757</v>
      </c>
    </row>
    <row r="641" spans="2:3" x14ac:dyDescent="0.25">
      <c r="B641" t="s">
        <v>736</v>
      </c>
      <c r="C641" s="2">
        <v>751912939976194</v>
      </c>
    </row>
    <row r="642" spans="2:3" x14ac:dyDescent="0.25">
      <c r="B642" t="s">
        <v>737</v>
      </c>
      <c r="C642" s="2">
        <v>130189212086981</v>
      </c>
    </row>
    <row r="643" spans="2:3" x14ac:dyDescent="0.25">
      <c r="B643" t="s">
        <v>738</v>
      </c>
      <c r="C643">
        <v>47100</v>
      </c>
    </row>
    <row r="644" spans="2:3" x14ac:dyDescent="0.25">
      <c r="B644" t="s">
        <v>739</v>
      </c>
      <c r="C644" s="2">
        <v>101881659487645</v>
      </c>
    </row>
    <row r="645" spans="2:3" x14ac:dyDescent="0.25">
      <c r="B645" t="s">
        <v>740</v>
      </c>
      <c r="C645" s="2">
        <v>109119345524543</v>
      </c>
    </row>
    <row r="646" spans="2:3" x14ac:dyDescent="0.25">
      <c r="B646" t="s">
        <v>741</v>
      </c>
      <c r="C646" s="2">
        <v>141669261912177</v>
      </c>
    </row>
    <row r="647" spans="2:3" x14ac:dyDescent="0.25">
      <c r="B647" t="s">
        <v>742</v>
      </c>
      <c r="C647" s="2">
        <v>101881659487645</v>
      </c>
    </row>
    <row r="648" spans="2:3" x14ac:dyDescent="0.25">
      <c r="B648" t="s">
        <v>743</v>
      </c>
      <c r="C648" s="2">
        <v>174510542168675</v>
      </c>
    </row>
    <row r="649" spans="2:3" x14ac:dyDescent="0.25">
      <c r="B649" t="s">
        <v>744</v>
      </c>
      <c r="C649">
        <v>47100</v>
      </c>
    </row>
    <row r="650" spans="2:3" x14ac:dyDescent="0.25">
      <c r="B650" t="s">
        <v>745</v>
      </c>
      <c r="C650" s="2">
        <v>160149608976539</v>
      </c>
    </row>
    <row r="651" spans="2:3" x14ac:dyDescent="0.25">
      <c r="B651" t="s">
        <v>746</v>
      </c>
      <c r="C651" s="2">
        <v>695263913251475</v>
      </c>
    </row>
    <row r="652" spans="2:3" x14ac:dyDescent="0.25">
      <c r="B652" t="s">
        <v>747</v>
      </c>
      <c r="C652" s="2">
        <v>438895234139757</v>
      </c>
    </row>
    <row r="653" spans="2:3" x14ac:dyDescent="0.25">
      <c r="B653" t="s">
        <v>748</v>
      </c>
      <c r="C653" s="2">
        <v>751912939976194</v>
      </c>
    </row>
    <row r="654" spans="2:3" x14ac:dyDescent="0.25">
      <c r="B654" t="s">
        <v>749</v>
      </c>
      <c r="C654" s="2">
        <v>130189212086981</v>
      </c>
    </row>
    <row r="655" spans="2:3" x14ac:dyDescent="0.25">
      <c r="B655" t="s">
        <v>750</v>
      </c>
      <c r="C655">
        <v>47100</v>
      </c>
    </row>
    <row r="656" spans="2:3" x14ac:dyDescent="0.25">
      <c r="B656" t="s">
        <v>751</v>
      </c>
      <c r="C656" s="2">
        <v>101881659487645</v>
      </c>
    </row>
    <row r="657" spans="2:3" x14ac:dyDescent="0.25">
      <c r="B657" t="s">
        <v>752</v>
      </c>
      <c r="C657" s="2">
        <v>109119345524543</v>
      </c>
    </row>
    <row r="658" spans="2:3" x14ac:dyDescent="0.25">
      <c r="B658" t="s">
        <v>753</v>
      </c>
      <c r="C658" s="2">
        <v>141669261912177</v>
      </c>
    </row>
    <row r="659" spans="2:3" x14ac:dyDescent="0.25">
      <c r="B659" t="s">
        <v>754</v>
      </c>
      <c r="C659" s="2">
        <v>101881659487645</v>
      </c>
    </row>
    <row r="660" spans="2:3" x14ac:dyDescent="0.25">
      <c r="B660" t="s">
        <v>755</v>
      </c>
      <c r="C660" s="2">
        <v>174510542168675</v>
      </c>
    </row>
    <row r="661" spans="2:3" x14ac:dyDescent="0.25">
      <c r="B661" t="s">
        <v>756</v>
      </c>
      <c r="C661">
        <v>47100</v>
      </c>
    </row>
    <row r="662" spans="2:3" x14ac:dyDescent="0.25">
      <c r="B662" t="s">
        <v>757</v>
      </c>
      <c r="C662" s="2">
        <v>160149608976539</v>
      </c>
    </row>
    <row r="663" spans="2:3" x14ac:dyDescent="0.25">
      <c r="B663" t="s">
        <v>758</v>
      </c>
      <c r="C663" s="2">
        <v>695263913251475</v>
      </c>
    </row>
    <row r="664" spans="2:3" x14ac:dyDescent="0.25">
      <c r="B664" t="s">
        <v>759</v>
      </c>
      <c r="C664" s="2">
        <v>438895234139757</v>
      </c>
    </row>
    <row r="665" spans="2:3" x14ac:dyDescent="0.25">
      <c r="B665" t="s">
        <v>760</v>
      </c>
      <c r="C665" s="2">
        <v>751912939976194</v>
      </c>
    </row>
    <row r="666" spans="2:3" x14ac:dyDescent="0.25">
      <c r="B666" t="s">
        <v>761</v>
      </c>
      <c r="C666" s="2">
        <v>130189212086981</v>
      </c>
    </row>
    <row r="667" spans="2:3" x14ac:dyDescent="0.25">
      <c r="B667" t="s">
        <v>762</v>
      </c>
      <c r="C667">
        <v>47100</v>
      </c>
    </row>
    <row r="668" spans="2:3" x14ac:dyDescent="0.25">
      <c r="B668" t="s">
        <v>763</v>
      </c>
      <c r="C668" s="2">
        <v>101881659487645</v>
      </c>
    </row>
    <row r="669" spans="2:3" x14ac:dyDescent="0.25">
      <c r="B669" t="s">
        <v>764</v>
      </c>
      <c r="C669" s="2">
        <v>109119345524543</v>
      </c>
    </row>
    <row r="670" spans="2:3" x14ac:dyDescent="0.25">
      <c r="B670" t="s">
        <v>765</v>
      </c>
      <c r="C670" s="2">
        <v>141669261912177</v>
      </c>
    </row>
    <row r="671" spans="2:3" x14ac:dyDescent="0.25">
      <c r="B671" t="s">
        <v>766</v>
      </c>
      <c r="C671" s="2">
        <v>101881659487645</v>
      </c>
    </row>
    <row r="672" spans="2:3" x14ac:dyDescent="0.25">
      <c r="B672" t="s">
        <v>767</v>
      </c>
      <c r="C672" s="2">
        <v>174510542168675</v>
      </c>
    </row>
    <row r="673" spans="2:3" x14ac:dyDescent="0.25">
      <c r="B673" t="s">
        <v>768</v>
      </c>
      <c r="C673">
        <v>47100</v>
      </c>
    </row>
    <row r="674" spans="2:3" x14ac:dyDescent="0.25">
      <c r="B674" t="s">
        <v>769</v>
      </c>
      <c r="C674" s="2">
        <v>160149608976539</v>
      </c>
    </row>
    <row r="675" spans="2:3" x14ac:dyDescent="0.25">
      <c r="B675" t="s">
        <v>770</v>
      </c>
      <c r="C675" s="2">
        <v>695263913251475</v>
      </c>
    </row>
    <row r="676" spans="2:3" x14ac:dyDescent="0.25">
      <c r="B676" t="s">
        <v>771</v>
      </c>
      <c r="C676" s="2">
        <v>438895234139757</v>
      </c>
    </row>
    <row r="677" spans="2:3" x14ac:dyDescent="0.25">
      <c r="B677" t="s">
        <v>772</v>
      </c>
      <c r="C677" s="2">
        <v>751912939976194</v>
      </c>
    </row>
    <row r="678" spans="2:3" x14ac:dyDescent="0.25">
      <c r="B678" t="s">
        <v>773</v>
      </c>
      <c r="C678" s="2">
        <v>130189212086981</v>
      </c>
    </row>
    <row r="679" spans="2:3" x14ac:dyDescent="0.25">
      <c r="B679" t="s">
        <v>774</v>
      </c>
      <c r="C679">
        <v>47100</v>
      </c>
    </row>
    <row r="680" spans="2:3" x14ac:dyDescent="0.25">
      <c r="B680" t="s">
        <v>775</v>
      </c>
      <c r="C680" s="2">
        <v>101881659487645</v>
      </c>
    </row>
    <row r="681" spans="2:3" x14ac:dyDescent="0.25">
      <c r="B681" t="s">
        <v>776</v>
      </c>
      <c r="C681" s="2">
        <v>109119345524543</v>
      </c>
    </row>
    <row r="682" spans="2:3" x14ac:dyDescent="0.25">
      <c r="B682" t="s">
        <v>777</v>
      </c>
      <c r="C682" s="2">
        <v>141669261912177</v>
      </c>
    </row>
    <row r="683" spans="2:3" x14ac:dyDescent="0.25">
      <c r="B683" t="s">
        <v>778</v>
      </c>
      <c r="C683" s="2">
        <v>101881659487645</v>
      </c>
    </row>
    <row r="684" spans="2:3" x14ac:dyDescent="0.25">
      <c r="B684" t="s">
        <v>779</v>
      </c>
      <c r="C684" s="2">
        <v>174510542168675</v>
      </c>
    </row>
    <row r="685" spans="2:3" x14ac:dyDescent="0.25">
      <c r="B685" t="s">
        <v>780</v>
      </c>
      <c r="C685">
        <v>47100</v>
      </c>
    </row>
    <row r="686" spans="2:3" x14ac:dyDescent="0.25">
      <c r="B686" t="s">
        <v>781</v>
      </c>
      <c r="C686" s="2">
        <v>160149608976539</v>
      </c>
    </row>
    <row r="687" spans="2:3" x14ac:dyDescent="0.25">
      <c r="B687" t="s">
        <v>782</v>
      </c>
      <c r="C687" s="2">
        <v>695263913251475</v>
      </c>
    </row>
    <row r="688" spans="2:3" x14ac:dyDescent="0.25">
      <c r="B688" t="s">
        <v>783</v>
      </c>
      <c r="C688" s="2">
        <v>438895234139757</v>
      </c>
    </row>
    <row r="689" spans="2:3" x14ac:dyDescent="0.25">
      <c r="B689" t="s">
        <v>784</v>
      </c>
      <c r="C689" s="2">
        <v>751912939976194</v>
      </c>
    </row>
    <row r="690" spans="2:3" x14ac:dyDescent="0.25">
      <c r="B690" t="s">
        <v>785</v>
      </c>
      <c r="C690" s="2">
        <v>130189212086981</v>
      </c>
    </row>
    <row r="691" spans="2:3" x14ac:dyDescent="0.25">
      <c r="B691" t="s">
        <v>786</v>
      </c>
      <c r="C691">
        <v>47100</v>
      </c>
    </row>
    <row r="692" spans="2:3" x14ac:dyDescent="0.25">
      <c r="B692" t="s">
        <v>787</v>
      </c>
      <c r="C692" s="2">
        <v>101881659487645</v>
      </c>
    </row>
    <row r="693" spans="2:3" x14ac:dyDescent="0.25">
      <c r="B693" t="s">
        <v>788</v>
      </c>
      <c r="C693" s="2">
        <v>109119345524543</v>
      </c>
    </row>
    <row r="694" spans="2:3" x14ac:dyDescent="0.25">
      <c r="B694" t="s">
        <v>789</v>
      </c>
      <c r="C694" s="2">
        <v>141669261912177</v>
      </c>
    </row>
    <row r="695" spans="2:3" x14ac:dyDescent="0.25">
      <c r="B695" t="s">
        <v>790</v>
      </c>
      <c r="C695" s="2">
        <v>101881659487645</v>
      </c>
    </row>
    <row r="696" spans="2:3" x14ac:dyDescent="0.25">
      <c r="B696" t="s">
        <v>791</v>
      </c>
      <c r="C696" s="2">
        <v>174510542168675</v>
      </c>
    </row>
    <row r="697" spans="2:3" x14ac:dyDescent="0.25">
      <c r="B697" t="s">
        <v>792</v>
      </c>
      <c r="C697">
        <v>47100</v>
      </c>
    </row>
    <row r="698" spans="2:3" x14ac:dyDescent="0.25">
      <c r="B698" t="s">
        <v>793</v>
      </c>
      <c r="C698" s="2">
        <v>125378089265954</v>
      </c>
    </row>
    <row r="699" spans="2:3" x14ac:dyDescent="0.25">
      <c r="B699" t="s">
        <v>794</v>
      </c>
      <c r="C699" s="2">
        <v>96898524540801</v>
      </c>
    </row>
    <row r="700" spans="2:3" x14ac:dyDescent="0.25">
      <c r="B700" t="s">
        <v>795</v>
      </c>
      <c r="C700" s="2">
        <v>61654286287894</v>
      </c>
    </row>
    <row r="701" spans="2:3" x14ac:dyDescent="0.25">
      <c r="B701" t="s">
        <v>796</v>
      </c>
      <c r="C701" s="2">
        <v>119218000737735</v>
      </c>
    </row>
    <row r="702" spans="2:3" x14ac:dyDescent="0.25">
      <c r="B702" t="s">
        <v>797</v>
      </c>
      <c r="C702" s="2">
        <v>153012610929472</v>
      </c>
    </row>
    <row r="703" spans="2:3" x14ac:dyDescent="0.25">
      <c r="B703" t="s">
        <v>798</v>
      </c>
      <c r="C703" s="2">
        <v>129867523083099</v>
      </c>
    </row>
    <row r="704" spans="2:3" x14ac:dyDescent="0.25">
      <c r="B704" t="s">
        <v>799</v>
      </c>
      <c r="C704" s="2">
        <v>119218000737735</v>
      </c>
    </row>
    <row r="705" spans="2:3" x14ac:dyDescent="0.25">
      <c r="B705" t="s">
        <v>800</v>
      </c>
      <c r="C705" s="2">
        <v>96898524540801</v>
      </c>
    </row>
    <row r="706" spans="2:3" x14ac:dyDescent="0.25">
      <c r="B706" t="s">
        <v>801</v>
      </c>
      <c r="C706" s="2">
        <v>61654286287894</v>
      </c>
    </row>
    <row r="707" spans="2:3" x14ac:dyDescent="0.25">
      <c r="B707" t="s">
        <v>802</v>
      </c>
      <c r="C707" s="2">
        <v>119218000737735</v>
      </c>
    </row>
    <row r="708" spans="2:3" x14ac:dyDescent="0.25">
      <c r="B708" t="s">
        <v>803</v>
      </c>
      <c r="C708" s="2">
        <v>153012610929472</v>
      </c>
    </row>
    <row r="709" spans="2:3" x14ac:dyDescent="0.25">
      <c r="B709" t="s">
        <v>804</v>
      </c>
      <c r="C709" s="2">
        <v>129867523083099</v>
      </c>
    </row>
    <row r="710" spans="2:3" x14ac:dyDescent="0.25">
      <c r="B710" t="s">
        <v>805</v>
      </c>
      <c r="C710" s="2">
        <v>125378089265954</v>
      </c>
    </row>
    <row r="711" spans="2:3" x14ac:dyDescent="0.25">
      <c r="B711" t="s">
        <v>806</v>
      </c>
      <c r="C711" s="2">
        <v>96898524540801</v>
      </c>
    </row>
    <row r="712" spans="2:3" x14ac:dyDescent="0.25">
      <c r="B712" t="s">
        <v>807</v>
      </c>
      <c r="C712" s="2">
        <v>61654286287894</v>
      </c>
    </row>
    <row r="713" spans="2:3" x14ac:dyDescent="0.25">
      <c r="B713" t="s">
        <v>808</v>
      </c>
      <c r="C713" s="2">
        <v>119218000737735</v>
      </c>
    </row>
    <row r="714" spans="2:3" x14ac:dyDescent="0.25">
      <c r="B714" t="s">
        <v>809</v>
      </c>
      <c r="C714" s="2">
        <v>153012610929472</v>
      </c>
    </row>
    <row r="715" spans="2:3" x14ac:dyDescent="0.25">
      <c r="B715" t="s">
        <v>810</v>
      </c>
      <c r="C715" s="2">
        <v>129867523083099</v>
      </c>
    </row>
    <row r="716" spans="2:3" x14ac:dyDescent="0.25">
      <c r="B716" t="s">
        <v>811</v>
      </c>
      <c r="C716" s="2">
        <v>119218000737735</v>
      </c>
    </row>
    <row r="717" spans="2:3" x14ac:dyDescent="0.25">
      <c r="B717" t="s">
        <v>812</v>
      </c>
      <c r="C717" s="2">
        <v>96898524540801</v>
      </c>
    </row>
    <row r="718" spans="2:3" x14ac:dyDescent="0.25">
      <c r="B718" t="s">
        <v>813</v>
      </c>
      <c r="C718" s="2">
        <v>61654286287894</v>
      </c>
    </row>
    <row r="719" spans="2:3" x14ac:dyDescent="0.25">
      <c r="B719" t="s">
        <v>814</v>
      </c>
      <c r="C719" s="2">
        <v>119218000737735</v>
      </c>
    </row>
    <row r="720" spans="2:3" x14ac:dyDescent="0.25">
      <c r="B720" t="s">
        <v>815</v>
      </c>
      <c r="C720" s="2">
        <v>153012610929472</v>
      </c>
    </row>
    <row r="721" spans="2:3" x14ac:dyDescent="0.25">
      <c r="B721" t="s">
        <v>816</v>
      </c>
      <c r="C721" s="2">
        <v>129867523083099</v>
      </c>
    </row>
    <row r="722" spans="2:3" x14ac:dyDescent="0.25">
      <c r="B722" t="s">
        <v>817</v>
      </c>
      <c r="C722" s="2">
        <v>125378089265954</v>
      </c>
    </row>
    <row r="723" spans="2:3" x14ac:dyDescent="0.25">
      <c r="B723" t="s">
        <v>818</v>
      </c>
      <c r="C723" s="2">
        <v>96898524540801</v>
      </c>
    </row>
    <row r="724" spans="2:3" x14ac:dyDescent="0.25">
      <c r="B724" t="s">
        <v>819</v>
      </c>
      <c r="C724" s="2">
        <v>61654286287894</v>
      </c>
    </row>
    <row r="725" spans="2:3" x14ac:dyDescent="0.25">
      <c r="B725" t="s">
        <v>820</v>
      </c>
      <c r="C725" s="2">
        <v>119218000737735</v>
      </c>
    </row>
    <row r="726" spans="2:3" x14ac:dyDescent="0.25">
      <c r="B726" t="s">
        <v>821</v>
      </c>
      <c r="C726" s="2">
        <v>153012610929472</v>
      </c>
    </row>
    <row r="727" spans="2:3" x14ac:dyDescent="0.25">
      <c r="B727" t="s">
        <v>822</v>
      </c>
      <c r="C727" s="2">
        <v>129867523083099</v>
      </c>
    </row>
    <row r="728" spans="2:3" x14ac:dyDescent="0.25">
      <c r="B728" t="s">
        <v>823</v>
      </c>
      <c r="C728" s="2">
        <v>119218000737735</v>
      </c>
    </row>
    <row r="729" spans="2:3" x14ac:dyDescent="0.25">
      <c r="B729" t="s">
        <v>824</v>
      </c>
      <c r="C729" s="2">
        <v>96898524540801</v>
      </c>
    </row>
    <row r="730" spans="2:3" x14ac:dyDescent="0.25">
      <c r="B730" t="s">
        <v>825</v>
      </c>
      <c r="C730" s="2">
        <v>61654286287894</v>
      </c>
    </row>
    <row r="731" spans="2:3" x14ac:dyDescent="0.25">
      <c r="B731" t="s">
        <v>826</v>
      </c>
      <c r="C731" s="2">
        <v>119218000737735</v>
      </c>
    </row>
    <row r="732" spans="2:3" x14ac:dyDescent="0.25">
      <c r="B732" t="s">
        <v>827</v>
      </c>
      <c r="C732" s="2">
        <v>153012610929472</v>
      </c>
    </row>
    <row r="733" spans="2:3" x14ac:dyDescent="0.25">
      <c r="B733" t="s">
        <v>828</v>
      </c>
      <c r="C733" s="2">
        <v>129867523083099</v>
      </c>
    </row>
    <row r="734" spans="2:3" x14ac:dyDescent="0.25">
      <c r="B734" t="s">
        <v>829</v>
      </c>
      <c r="C734" s="2">
        <v>125378089265954</v>
      </c>
    </row>
    <row r="735" spans="2:3" x14ac:dyDescent="0.25">
      <c r="B735" t="s">
        <v>830</v>
      </c>
      <c r="C735" s="2">
        <v>96898524540801</v>
      </c>
    </row>
    <row r="736" spans="2:3" x14ac:dyDescent="0.25">
      <c r="B736" t="s">
        <v>831</v>
      </c>
      <c r="C736" s="2">
        <v>61654286287894</v>
      </c>
    </row>
    <row r="737" spans="2:3" x14ac:dyDescent="0.25">
      <c r="B737" t="s">
        <v>832</v>
      </c>
      <c r="C737" s="2">
        <v>119218000737735</v>
      </c>
    </row>
    <row r="738" spans="2:3" x14ac:dyDescent="0.25">
      <c r="B738" t="s">
        <v>833</v>
      </c>
      <c r="C738" s="2">
        <v>153012610929472</v>
      </c>
    </row>
    <row r="739" spans="2:3" x14ac:dyDescent="0.25">
      <c r="B739" t="s">
        <v>834</v>
      </c>
      <c r="C739" s="2">
        <v>129867523083099</v>
      </c>
    </row>
    <row r="740" spans="2:3" x14ac:dyDescent="0.25">
      <c r="B740" t="s">
        <v>835</v>
      </c>
      <c r="C740" s="2">
        <v>119218000737735</v>
      </c>
    </row>
    <row r="741" spans="2:3" x14ac:dyDescent="0.25">
      <c r="B741" t="s">
        <v>836</v>
      </c>
      <c r="C741" s="2">
        <v>96898524540801</v>
      </c>
    </row>
    <row r="742" spans="2:3" x14ac:dyDescent="0.25">
      <c r="B742" t="s">
        <v>837</v>
      </c>
      <c r="C742" s="2">
        <v>61654286287894</v>
      </c>
    </row>
    <row r="743" spans="2:3" x14ac:dyDescent="0.25">
      <c r="B743" t="s">
        <v>838</v>
      </c>
      <c r="C743" s="2">
        <v>119218000737735</v>
      </c>
    </row>
    <row r="744" spans="2:3" x14ac:dyDescent="0.25">
      <c r="B744" t="s">
        <v>839</v>
      </c>
      <c r="C744" s="2">
        <v>153012610929472</v>
      </c>
    </row>
    <row r="745" spans="2:3" x14ac:dyDescent="0.25">
      <c r="B745" t="s">
        <v>840</v>
      </c>
      <c r="C745" s="2">
        <v>129867523083099</v>
      </c>
    </row>
    <row r="746" spans="2:3" x14ac:dyDescent="0.25">
      <c r="B746" t="s">
        <v>841</v>
      </c>
      <c r="C746" s="2">
        <v>125378089265954</v>
      </c>
    </row>
    <row r="747" spans="2:3" x14ac:dyDescent="0.25">
      <c r="B747" t="s">
        <v>842</v>
      </c>
      <c r="C747" s="2">
        <v>96898524540801</v>
      </c>
    </row>
    <row r="748" spans="2:3" x14ac:dyDescent="0.25">
      <c r="B748" t="s">
        <v>843</v>
      </c>
      <c r="C748" s="2">
        <v>61654286287894</v>
      </c>
    </row>
    <row r="749" spans="2:3" x14ac:dyDescent="0.25">
      <c r="B749" t="s">
        <v>844</v>
      </c>
      <c r="C749" s="2">
        <v>119218000737735</v>
      </c>
    </row>
    <row r="750" spans="2:3" x14ac:dyDescent="0.25">
      <c r="B750" t="s">
        <v>845</v>
      </c>
      <c r="C750" s="2">
        <v>153012610929472</v>
      </c>
    </row>
    <row r="751" spans="2:3" x14ac:dyDescent="0.25">
      <c r="B751" t="s">
        <v>846</v>
      </c>
      <c r="C751" s="2">
        <v>129867523083099</v>
      </c>
    </row>
    <row r="752" spans="2:3" x14ac:dyDescent="0.25">
      <c r="B752" t="s">
        <v>847</v>
      </c>
      <c r="C752" s="2">
        <v>119218000737735</v>
      </c>
    </row>
    <row r="753" spans="2:3" x14ac:dyDescent="0.25">
      <c r="B753" t="s">
        <v>848</v>
      </c>
      <c r="C753" s="2">
        <v>96898524540801</v>
      </c>
    </row>
    <row r="754" spans="2:3" x14ac:dyDescent="0.25">
      <c r="B754" t="s">
        <v>849</v>
      </c>
      <c r="C754" s="2">
        <v>61654286287894</v>
      </c>
    </row>
    <row r="755" spans="2:3" x14ac:dyDescent="0.25">
      <c r="B755" t="s">
        <v>850</v>
      </c>
      <c r="C755" s="2">
        <v>119218000737735</v>
      </c>
    </row>
    <row r="756" spans="2:3" x14ac:dyDescent="0.25">
      <c r="B756" t="s">
        <v>851</v>
      </c>
      <c r="C756" s="2">
        <v>153012610929472</v>
      </c>
    </row>
    <row r="757" spans="2:3" x14ac:dyDescent="0.25">
      <c r="B757" t="s">
        <v>852</v>
      </c>
      <c r="C757" s="2">
        <v>129867523083099</v>
      </c>
    </row>
    <row r="758" spans="2:3" x14ac:dyDescent="0.25">
      <c r="B758" t="s">
        <v>853</v>
      </c>
      <c r="C758" s="2">
        <v>125378089265954</v>
      </c>
    </row>
    <row r="759" spans="2:3" x14ac:dyDescent="0.25">
      <c r="B759" t="s">
        <v>854</v>
      </c>
      <c r="C759" s="2">
        <v>96898524540801</v>
      </c>
    </row>
    <row r="760" spans="2:3" x14ac:dyDescent="0.25">
      <c r="B760" t="s">
        <v>855</v>
      </c>
      <c r="C760" s="2">
        <v>61654286287894</v>
      </c>
    </row>
    <row r="761" spans="2:3" x14ac:dyDescent="0.25">
      <c r="B761" t="s">
        <v>856</v>
      </c>
      <c r="C761" s="2">
        <v>119218000737735</v>
      </c>
    </row>
    <row r="762" spans="2:3" x14ac:dyDescent="0.25">
      <c r="B762" t="s">
        <v>857</v>
      </c>
      <c r="C762" s="2">
        <v>153012610929472</v>
      </c>
    </row>
    <row r="763" spans="2:3" x14ac:dyDescent="0.25">
      <c r="B763" t="s">
        <v>858</v>
      </c>
      <c r="C763" s="2">
        <v>129867523083099</v>
      </c>
    </row>
    <row r="764" spans="2:3" x14ac:dyDescent="0.25">
      <c r="B764" t="s">
        <v>859</v>
      </c>
      <c r="C764" s="2">
        <v>119218000737735</v>
      </c>
    </row>
    <row r="765" spans="2:3" x14ac:dyDescent="0.25">
      <c r="B765" t="s">
        <v>860</v>
      </c>
      <c r="C765" s="2">
        <v>96898524540801</v>
      </c>
    </row>
    <row r="766" spans="2:3" x14ac:dyDescent="0.25">
      <c r="B766" t="s">
        <v>861</v>
      </c>
      <c r="C766" s="2">
        <v>61654286287894</v>
      </c>
    </row>
    <row r="767" spans="2:3" x14ac:dyDescent="0.25">
      <c r="B767" t="s">
        <v>862</v>
      </c>
      <c r="C767" s="2">
        <v>119218000737735</v>
      </c>
    </row>
    <row r="768" spans="2:3" x14ac:dyDescent="0.25">
      <c r="B768" t="s">
        <v>863</v>
      </c>
      <c r="C768" s="2">
        <v>153012610929472</v>
      </c>
    </row>
    <row r="769" spans="2:3" x14ac:dyDescent="0.25">
      <c r="B769" t="s">
        <v>864</v>
      </c>
      <c r="C769" s="2">
        <v>129867523083099</v>
      </c>
    </row>
    <row r="770" spans="2:3" x14ac:dyDescent="0.25">
      <c r="B770" t="s">
        <v>865</v>
      </c>
      <c r="C770" s="2">
        <v>125378089265954</v>
      </c>
    </row>
    <row r="771" spans="2:3" x14ac:dyDescent="0.25">
      <c r="B771" t="s">
        <v>866</v>
      </c>
      <c r="C771" s="2">
        <v>96898524540801</v>
      </c>
    </row>
    <row r="772" spans="2:3" x14ac:dyDescent="0.25">
      <c r="B772" t="s">
        <v>867</v>
      </c>
      <c r="C772" s="2">
        <v>61654286287894</v>
      </c>
    </row>
    <row r="773" spans="2:3" x14ac:dyDescent="0.25">
      <c r="B773" t="s">
        <v>868</v>
      </c>
      <c r="C773" s="2">
        <v>119218000737735</v>
      </c>
    </row>
    <row r="774" spans="2:3" x14ac:dyDescent="0.25">
      <c r="B774" t="s">
        <v>869</v>
      </c>
      <c r="C774" s="2">
        <v>153012610929472</v>
      </c>
    </row>
    <row r="775" spans="2:3" x14ac:dyDescent="0.25">
      <c r="B775" t="s">
        <v>870</v>
      </c>
      <c r="C775" s="2">
        <v>129867523083099</v>
      </c>
    </row>
    <row r="776" spans="2:3" x14ac:dyDescent="0.25">
      <c r="B776" t="s">
        <v>871</v>
      </c>
      <c r="C776" s="2">
        <v>119218000737735</v>
      </c>
    </row>
    <row r="777" spans="2:3" x14ac:dyDescent="0.25">
      <c r="B777" t="s">
        <v>872</v>
      </c>
      <c r="C777" s="2">
        <v>96898524540801</v>
      </c>
    </row>
    <row r="778" spans="2:3" x14ac:dyDescent="0.25">
      <c r="B778" t="s">
        <v>873</v>
      </c>
      <c r="C778" s="2">
        <v>61654286287894</v>
      </c>
    </row>
    <row r="779" spans="2:3" x14ac:dyDescent="0.25">
      <c r="B779" t="s">
        <v>874</v>
      </c>
      <c r="C779" s="2">
        <v>119218000737735</v>
      </c>
    </row>
    <row r="780" spans="2:3" x14ac:dyDescent="0.25">
      <c r="B780" t="s">
        <v>875</v>
      </c>
      <c r="C780" s="2">
        <v>153012610929472</v>
      </c>
    </row>
    <row r="781" spans="2:3" x14ac:dyDescent="0.25">
      <c r="B781" t="s">
        <v>876</v>
      </c>
      <c r="C781" s="2">
        <v>129867523083099</v>
      </c>
    </row>
    <row r="782" spans="2:3" x14ac:dyDescent="0.25">
      <c r="B782" t="s">
        <v>877</v>
      </c>
      <c r="C782" s="2">
        <v>125378089265954</v>
      </c>
    </row>
    <row r="783" spans="2:3" x14ac:dyDescent="0.25">
      <c r="B783" t="s">
        <v>878</v>
      </c>
      <c r="C783" s="2">
        <v>96898524540801</v>
      </c>
    </row>
    <row r="784" spans="2:3" x14ac:dyDescent="0.25">
      <c r="B784" t="s">
        <v>879</v>
      </c>
      <c r="C784" s="2">
        <v>61654286287894</v>
      </c>
    </row>
    <row r="785" spans="2:3" x14ac:dyDescent="0.25">
      <c r="B785" t="s">
        <v>880</v>
      </c>
      <c r="C785" s="2">
        <v>119218000737735</v>
      </c>
    </row>
    <row r="786" spans="2:3" x14ac:dyDescent="0.25">
      <c r="B786" t="s">
        <v>881</v>
      </c>
      <c r="C786" s="2">
        <v>153012610929472</v>
      </c>
    </row>
    <row r="787" spans="2:3" x14ac:dyDescent="0.25">
      <c r="B787" t="s">
        <v>882</v>
      </c>
      <c r="C787" s="2">
        <v>129867523083099</v>
      </c>
    </row>
    <row r="788" spans="2:3" x14ac:dyDescent="0.25">
      <c r="B788" t="s">
        <v>883</v>
      </c>
      <c r="C788" s="2">
        <v>119218000737735</v>
      </c>
    </row>
    <row r="789" spans="2:3" x14ac:dyDescent="0.25">
      <c r="B789" t="s">
        <v>884</v>
      </c>
      <c r="C789" s="2">
        <v>96898524540801</v>
      </c>
    </row>
    <row r="790" spans="2:3" x14ac:dyDescent="0.25">
      <c r="B790" t="s">
        <v>885</v>
      </c>
      <c r="C790" s="2">
        <v>61654286287894</v>
      </c>
    </row>
    <row r="791" spans="2:3" x14ac:dyDescent="0.25">
      <c r="B791" t="s">
        <v>886</v>
      </c>
      <c r="C791" s="2">
        <v>119218000737735</v>
      </c>
    </row>
    <row r="792" spans="2:3" x14ac:dyDescent="0.25">
      <c r="B792" t="s">
        <v>887</v>
      </c>
      <c r="C792" s="2">
        <v>153012610929472</v>
      </c>
    </row>
    <row r="793" spans="2:3" x14ac:dyDescent="0.25">
      <c r="B793" t="s">
        <v>888</v>
      </c>
      <c r="C793" s="2">
        <v>129867523083099</v>
      </c>
    </row>
    <row r="794" spans="2:3" x14ac:dyDescent="0.25">
      <c r="B794" t="s">
        <v>889</v>
      </c>
      <c r="C794" s="2">
        <v>135374400590188</v>
      </c>
    </row>
    <row r="795" spans="2:3" x14ac:dyDescent="0.25">
      <c r="B795" t="s">
        <v>890</v>
      </c>
      <c r="C795" s="2">
        <v>105962059620596</v>
      </c>
    </row>
    <row r="796" spans="2:3" x14ac:dyDescent="0.25">
      <c r="B796" t="s">
        <v>891</v>
      </c>
      <c r="C796" s="2">
        <v>702670146556916</v>
      </c>
    </row>
    <row r="797" spans="2:3" x14ac:dyDescent="0.25">
      <c r="B797" t="s">
        <v>892</v>
      </c>
      <c r="C797" s="2">
        <v>131538177794172</v>
      </c>
    </row>
    <row r="798" spans="2:3" x14ac:dyDescent="0.25">
      <c r="B798" t="s">
        <v>893</v>
      </c>
      <c r="C798" s="2">
        <v>167164876226063</v>
      </c>
    </row>
    <row r="799" spans="2:3" x14ac:dyDescent="0.25">
      <c r="B799" t="s">
        <v>894</v>
      </c>
      <c r="C799" s="2">
        <v>143918105178643</v>
      </c>
    </row>
    <row r="800" spans="2:3" x14ac:dyDescent="0.25">
      <c r="B800" t="s">
        <v>895</v>
      </c>
      <c r="C800" s="2">
        <v>131538177794172</v>
      </c>
    </row>
    <row r="801" spans="2:3" x14ac:dyDescent="0.25">
      <c r="B801" t="s">
        <v>896</v>
      </c>
      <c r="C801" s="2">
        <v>105962059620596</v>
      </c>
    </row>
    <row r="802" spans="2:3" x14ac:dyDescent="0.25">
      <c r="B802" t="s">
        <v>897</v>
      </c>
      <c r="C802" s="2">
        <v>702670146556916</v>
      </c>
    </row>
    <row r="803" spans="2:3" x14ac:dyDescent="0.25">
      <c r="B803" t="s">
        <v>898</v>
      </c>
      <c r="C803" s="2">
        <v>131538177794172</v>
      </c>
    </row>
    <row r="804" spans="2:3" x14ac:dyDescent="0.25">
      <c r="B804" t="s">
        <v>899</v>
      </c>
      <c r="C804" s="2">
        <v>167164876226063</v>
      </c>
    </row>
    <row r="805" spans="2:3" x14ac:dyDescent="0.25">
      <c r="B805" t="s">
        <v>900</v>
      </c>
      <c r="C805" s="2">
        <v>143918105178643</v>
      </c>
    </row>
    <row r="806" spans="2:3" x14ac:dyDescent="0.25">
      <c r="B806" t="s">
        <v>901</v>
      </c>
      <c r="C806" s="2">
        <v>135374400590188</v>
      </c>
    </row>
    <row r="807" spans="2:3" x14ac:dyDescent="0.25">
      <c r="B807" t="s">
        <v>902</v>
      </c>
      <c r="C807" s="2">
        <v>105962059620596</v>
      </c>
    </row>
    <row r="808" spans="2:3" x14ac:dyDescent="0.25">
      <c r="B808" t="s">
        <v>903</v>
      </c>
      <c r="C808" s="2">
        <v>702670146556916</v>
      </c>
    </row>
    <row r="809" spans="2:3" x14ac:dyDescent="0.25">
      <c r="B809" t="s">
        <v>904</v>
      </c>
      <c r="C809" s="2">
        <v>131538177794172</v>
      </c>
    </row>
    <row r="810" spans="2:3" x14ac:dyDescent="0.25">
      <c r="B810" t="s">
        <v>905</v>
      </c>
      <c r="C810" s="2">
        <v>167164876226063</v>
      </c>
    </row>
    <row r="811" spans="2:3" x14ac:dyDescent="0.25">
      <c r="B811" t="s">
        <v>906</v>
      </c>
      <c r="C811" s="2">
        <v>143918105178643</v>
      </c>
    </row>
    <row r="812" spans="2:3" x14ac:dyDescent="0.25">
      <c r="B812" t="s">
        <v>907</v>
      </c>
      <c r="C812" s="2">
        <v>131538177794172</v>
      </c>
    </row>
    <row r="813" spans="2:3" x14ac:dyDescent="0.25">
      <c r="B813" t="s">
        <v>908</v>
      </c>
      <c r="C813" s="2">
        <v>105962059620596</v>
      </c>
    </row>
    <row r="814" spans="2:3" x14ac:dyDescent="0.25">
      <c r="B814" t="s">
        <v>909</v>
      </c>
      <c r="C814" s="2">
        <v>702670146556916</v>
      </c>
    </row>
    <row r="815" spans="2:3" x14ac:dyDescent="0.25">
      <c r="B815" t="s">
        <v>910</v>
      </c>
      <c r="C815" s="2">
        <v>131538177794172</v>
      </c>
    </row>
    <row r="816" spans="2:3" x14ac:dyDescent="0.25">
      <c r="B816" t="s">
        <v>911</v>
      </c>
      <c r="C816" s="2">
        <v>167164876226063</v>
      </c>
    </row>
    <row r="817" spans="2:3" x14ac:dyDescent="0.25">
      <c r="B817" t="s">
        <v>912</v>
      </c>
      <c r="C817" s="2">
        <v>143918105178643</v>
      </c>
    </row>
    <row r="818" spans="2:3" x14ac:dyDescent="0.25">
      <c r="B818" t="s">
        <v>913</v>
      </c>
      <c r="C818" s="2">
        <v>135374400590188</v>
      </c>
    </row>
    <row r="819" spans="2:3" x14ac:dyDescent="0.25">
      <c r="B819" t="s">
        <v>914</v>
      </c>
      <c r="C819" s="2">
        <v>105962059620596</v>
      </c>
    </row>
    <row r="820" spans="2:3" x14ac:dyDescent="0.25">
      <c r="B820" t="s">
        <v>915</v>
      </c>
      <c r="C820" s="2">
        <v>702670146556916</v>
      </c>
    </row>
    <row r="821" spans="2:3" x14ac:dyDescent="0.25">
      <c r="B821" t="s">
        <v>916</v>
      </c>
      <c r="C821" s="2">
        <v>131538177794172</v>
      </c>
    </row>
    <row r="822" spans="2:3" x14ac:dyDescent="0.25">
      <c r="B822" t="s">
        <v>917</v>
      </c>
      <c r="C822" s="2">
        <v>167164876226063</v>
      </c>
    </row>
    <row r="823" spans="2:3" x14ac:dyDescent="0.25">
      <c r="B823" t="s">
        <v>918</v>
      </c>
      <c r="C823" s="2">
        <v>143918105178643</v>
      </c>
    </row>
    <row r="824" spans="2:3" x14ac:dyDescent="0.25">
      <c r="B824" t="s">
        <v>919</v>
      </c>
      <c r="C824" s="2">
        <v>131538177794172</v>
      </c>
    </row>
    <row r="825" spans="2:3" x14ac:dyDescent="0.25">
      <c r="B825" t="s">
        <v>920</v>
      </c>
      <c r="C825" s="2">
        <v>105962059620596</v>
      </c>
    </row>
    <row r="826" spans="2:3" x14ac:dyDescent="0.25">
      <c r="B826" t="s">
        <v>921</v>
      </c>
      <c r="C826" s="2">
        <v>702670146556916</v>
      </c>
    </row>
    <row r="827" spans="2:3" x14ac:dyDescent="0.25">
      <c r="B827" t="s">
        <v>922</v>
      </c>
      <c r="C827" s="2">
        <v>131538177794172</v>
      </c>
    </row>
    <row r="828" spans="2:3" x14ac:dyDescent="0.25">
      <c r="B828" t="s">
        <v>923</v>
      </c>
      <c r="C828" s="2">
        <v>167164876226063</v>
      </c>
    </row>
    <row r="829" spans="2:3" x14ac:dyDescent="0.25">
      <c r="B829" t="s">
        <v>924</v>
      </c>
      <c r="C829" s="2">
        <v>143918105178643</v>
      </c>
    </row>
    <row r="830" spans="2:3" x14ac:dyDescent="0.25">
      <c r="B830" t="s">
        <v>925</v>
      </c>
      <c r="C830" s="2">
        <v>135374400590188</v>
      </c>
    </row>
    <row r="831" spans="2:3" x14ac:dyDescent="0.25">
      <c r="B831" t="s">
        <v>926</v>
      </c>
      <c r="C831" s="2">
        <v>105962059620596</v>
      </c>
    </row>
    <row r="832" spans="2:3" x14ac:dyDescent="0.25">
      <c r="B832" t="s">
        <v>927</v>
      </c>
      <c r="C832" s="2">
        <v>702670146556916</v>
      </c>
    </row>
    <row r="833" spans="2:3" x14ac:dyDescent="0.25">
      <c r="B833" t="s">
        <v>928</v>
      </c>
      <c r="C833" s="2">
        <v>131538177794172</v>
      </c>
    </row>
    <row r="834" spans="2:3" x14ac:dyDescent="0.25">
      <c r="B834" t="s">
        <v>929</v>
      </c>
      <c r="C834" s="2">
        <v>167164876226063</v>
      </c>
    </row>
    <row r="835" spans="2:3" x14ac:dyDescent="0.25">
      <c r="B835" t="s">
        <v>930</v>
      </c>
      <c r="C835" s="2">
        <v>143918105178643</v>
      </c>
    </row>
    <row r="836" spans="2:3" x14ac:dyDescent="0.25">
      <c r="B836" t="s">
        <v>931</v>
      </c>
      <c r="C836" s="2">
        <v>131538177794172</v>
      </c>
    </row>
    <row r="837" spans="2:3" x14ac:dyDescent="0.25">
      <c r="B837" t="s">
        <v>932</v>
      </c>
      <c r="C837" s="2">
        <v>105962059620596</v>
      </c>
    </row>
    <row r="838" spans="2:3" x14ac:dyDescent="0.25">
      <c r="B838" t="s">
        <v>933</v>
      </c>
      <c r="C838" s="2">
        <v>702670146556916</v>
      </c>
    </row>
    <row r="839" spans="2:3" x14ac:dyDescent="0.25">
      <c r="B839" t="s">
        <v>934</v>
      </c>
      <c r="C839" s="2">
        <v>131538177794172</v>
      </c>
    </row>
    <row r="840" spans="2:3" x14ac:dyDescent="0.25">
      <c r="B840" t="s">
        <v>935</v>
      </c>
      <c r="C840" s="2">
        <v>167164876226063</v>
      </c>
    </row>
    <row r="841" spans="2:3" x14ac:dyDescent="0.25">
      <c r="B841" t="s">
        <v>936</v>
      </c>
      <c r="C841" s="2">
        <v>143918105178643</v>
      </c>
    </row>
    <row r="842" spans="2:3" x14ac:dyDescent="0.25">
      <c r="B842" t="s">
        <v>937</v>
      </c>
      <c r="C842" s="2">
        <v>135374400590188</v>
      </c>
    </row>
    <row r="843" spans="2:3" x14ac:dyDescent="0.25">
      <c r="B843" t="s">
        <v>938</v>
      </c>
      <c r="C843" s="2">
        <v>105962059620596</v>
      </c>
    </row>
    <row r="844" spans="2:3" x14ac:dyDescent="0.25">
      <c r="B844" t="s">
        <v>939</v>
      </c>
      <c r="C844" s="2">
        <v>702670146556916</v>
      </c>
    </row>
    <row r="845" spans="2:3" x14ac:dyDescent="0.25">
      <c r="B845" t="s">
        <v>940</v>
      </c>
      <c r="C845" s="2">
        <v>131538177794172</v>
      </c>
    </row>
    <row r="846" spans="2:3" x14ac:dyDescent="0.25">
      <c r="B846" t="s">
        <v>941</v>
      </c>
      <c r="C846" s="2">
        <v>167164876226063</v>
      </c>
    </row>
    <row r="847" spans="2:3" x14ac:dyDescent="0.25">
      <c r="B847" t="s">
        <v>942</v>
      </c>
      <c r="C847" s="2">
        <v>143918105178643</v>
      </c>
    </row>
    <row r="848" spans="2:3" x14ac:dyDescent="0.25">
      <c r="B848" t="s">
        <v>943</v>
      </c>
      <c r="C848" s="2">
        <v>131538177794172</v>
      </c>
    </row>
    <row r="849" spans="2:3" x14ac:dyDescent="0.25">
      <c r="B849" t="s">
        <v>944</v>
      </c>
      <c r="C849" s="2">
        <v>105962059620596</v>
      </c>
    </row>
    <row r="850" spans="2:3" x14ac:dyDescent="0.25">
      <c r="B850" t="s">
        <v>945</v>
      </c>
      <c r="C850" s="2">
        <v>702670146556916</v>
      </c>
    </row>
    <row r="851" spans="2:3" x14ac:dyDescent="0.25">
      <c r="B851" t="s">
        <v>946</v>
      </c>
      <c r="C851" s="2">
        <v>131538177794172</v>
      </c>
    </row>
    <row r="852" spans="2:3" x14ac:dyDescent="0.25">
      <c r="B852" t="s">
        <v>947</v>
      </c>
      <c r="C852" s="2">
        <v>167164876226063</v>
      </c>
    </row>
    <row r="853" spans="2:3" x14ac:dyDescent="0.25">
      <c r="B853" t="s">
        <v>948</v>
      </c>
      <c r="C853" s="2">
        <v>143918105178643</v>
      </c>
    </row>
    <row r="854" spans="2:3" x14ac:dyDescent="0.25">
      <c r="B854" t="s">
        <v>949</v>
      </c>
      <c r="C854" s="2">
        <v>135374400590188</v>
      </c>
    </row>
    <row r="855" spans="2:3" x14ac:dyDescent="0.25">
      <c r="B855" t="s">
        <v>950</v>
      </c>
      <c r="C855" s="2">
        <v>105962059620596</v>
      </c>
    </row>
    <row r="856" spans="2:3" x14ac:dyDescent="0.25">
      <c r="B856" t="s">
        <v>951</v>
      </c>
      <c r="C856" s="2">
        <v>702670146556916</v>
      </c>
    </row>
    <row r="857" spans="2:3" x14ac:dyDescent="0.25">
      <c r="B857" t="s">
        <v>952</v>
      </c>
      <c r="C857" s="2">
        <v>131538177794172</v>
      </c>
    </row>
    <row r="858" spans="2:3" x14ac:dyDescent="0.25">
      <c r="B858" t="s">
        <v>953</v>
      </c>
      <c r="C858" s="2">
        <v>167164876226063</v>
      </c>
    </row>
    <row r="859" spans="2:3" x14ac:dyDescent="0.25">
      <c r="B859" t="s">
        <v>954</v>
      </c>
      <c r="C859" s="2">
        <v>143918105178643</v>
      </c>
    </row>
    <row r="860" spans="2:3" x14ac:dyDescent="0.25">
      <c r="B860" t="s">
        <v>955</v>
      </c>
      <c r="C860" s="2">
        <v>131538177794172</v>
      </c>
    </row>
    <row r="861" spans="2:3" x14ac:dyDescent="0.25">
      <c r="B861" t="s">
        <v>956</v>
      </c>
      <c r="C861" s="2">
        <v>105962059620596</v>
      </c>
    </row>
    <row r="862" spans="2:3" x14ac:dyDescent="0.25">
      <c r="B862" t="s">
        <v>957</v>
      </c>
      <c r="C862" s="2">
        <v>702670146556916</v>
      </c>
    </row>
    <row r="863" spans="2:3" x14ac:dyDescent="0.25">
      <c r="B863" t="s">
        <v>958</v>
      </c>
      <c r="C863" s="2">
        <v>131538177794172</v>
      </c>
    </row>
    <row r="864" spans="2:3" x14ac:dyDescent="0.25">
      <c r="B864" t="s">
        <v>959</v>
      </c>
      <c r="C864" s="2">
        <v>167164876226063</v>
      </c>
    </row>
    <row r="865" spans="2:3" x14ac:dyDescent="0.25">
      <c r="B865" t="s">
        <v>960</v>
      </c>
      <c r="C865" s="2">
        <v>143918105178643</v>
      </c>
    </row>
    <row r="866" spans="2:3" x14ac:dyDescent="0.25">
      <c r="B866" t="s">
        <v>961</v>
      </c>
      <c r="C866" s="2">
        <v>135374400590188</v>
      </c>
    </row>
    <row r="867" spans="2:3" x14ac:dyDescent="0.25">
      <c r="B867" t="s">
        <v>962</v>
      </c>
      <c r="C867" s="2">
        <v>105962059620596</v>
      </c>
    </row>
    <row r="868" spans="2:3" x14ac:dyDescent="0.25">
      <c r="B868" t="s">
        <v>963</v>
      </c>
      <c r="C868" s="2">
        <v>702670146556916</v>
      </c>
    </row>
    <row r="869" spans="2:3" x14ac:dyDescent="0.25">
      <c r="B869" t="s">
        <v>964</v>
      </c>
      <c r="C869" s="2">
        <v>131538177794172</v>
      </c>
    </row>
    <row r="870" spans="2:3" x14ac:dyDescent="0.25">
      <c r="B870" t="s">
        <v>965</v>
      </c>
      <c r="C870" s="2">
        <v>167164876226063</v>
      </c>
    </row>
    <row r="871" spans="2:3" x14ac:dyDescent="0.25">
      <c r="B871" t="s">
        <v>966</v>
      </c>
      <c r="C871" s="2">
        <v>143918105178643</v>
      </c>
    </row>
    <row r="872" spans="2:3" x14ac:dyDescent="0.25">
      <c r="B872" t="s">
        <v>967</v>
      </c>
      <c r="C872" s="2">
        <v>131538177794172</v>
      </c>
    </row>
    <row r="873" spans="2:3" x14ac:dyDescent="0.25">
      <c r="B873" t="s">
        <v>968</v>
      </c>
      <c r="C873" s="2">
        <v>105962059620596</v>
      </c>
    </row>
    <row r="874" spans="2:3" x14ac:dyDescent="0.25">
      <c r="B874" t="s">
        <v>969</v>
      </c>
      <c r="C874" s="2">
        <v>702670146556916</v>
      </c>
    </row>
    <row r="875" spans="2:3" x14ac:dyDescent="0.25">
      <c r="B875" t="s">
        <v>970</v>
      </c>
      <c r="C875" s="2">
        <v>131538177794172</v>
      </c>
    </row>
    <row r="876" spans="2:3" x14ac:dyDescent="0.25">
      <c r="B876" t="s">
        <v>971</v>
      </c>
      <c r="C876" s="2">
        <v>167164876226063</v>
      </c>
    </row>
    <row r="877" spans="2:3" x14ac:dyDescent="0.25">
      <c r="B877" t="s">
        <v>972</v>
      </c>
      <c r="C877" s="2">
        <v>143918105178643</v>
      </c>
    </row>
    <row r="878" spans="2:3" x14ac:dyDescent="0.25">
      <c r="B878" t="s">
        <v>973</v>
      </c>
      <c r="C878" s="2">
        <v>135374400590188</v>
      </c>
    </row>
    <row r="879" spans="2:3" x14ac:dyDescent="0.25">
      <c r="B879" t="s">
        <v>974</v>
      </c>
      <c r="C879" s="2">
        <v>105962059620596</v>
      </c>
    </row>
    <row r="880" spans="2:3" x14ac:dyDescent="0.25">
      <c r="B880" t="s">
        <v>975</v>
      </c>
      <c r="C880" s="2">
        <v>702670146556916</v>
      </c>
    </row>
    <row r="881" spans="2:7" x14ac:dyDescent="0.25">
      <c r="B881" t="s">
        <v>976</v>
      </c>
      <c r="C881" s="2">
        <v>131538177794172</v>
      </c>
    </row>
    <row r="882" spans="2:7" x14ac:dyDescent="0.25">
      <c r="B882" t="s">
        <v>977</v>
      </c>
      <c r="C882" s="2">
        <v>167164876226063</v>
      </c>
    </row>
    <row r="883" spans="2:7" x14ac:dyDescent="0.25">
      <c r="B883" t="s">
        <v>978</v>
      </c>
      <c r="C883" s="2">
        <v>143918105178643</v>
      </c>
    </row>
    <row r="884" spans="2:7" x14ac:dyDescent="0.25">
      <c r="B884" t="s">
        <v>979</v>
      </c>
      <c r="C884" s="2">
        <v>131538177794172</v>
      </c>
    </row>
    <row r="885" spans="2:7" x14ac:dyDescent="0.25">
      <c r="B885" t="s">
        <v>980</v>
      </c>
      <c r="C885" s="2">
        <v>105962059620596</v>
      </c>
    </row>
    <row r="886" spans="2:7" x14ac:dyDescent="0.25">
      <c r="B886" t="s">
        <v>981</v>
      </c>
      <c r="C886" s="2">
        <v>702670146556916</v>
      </c>
    </row>
    <row r="887" spans="2:7" x14ac:dyDescent="0.25">
      <c r="B887" t="s">
        <v>982</v>
      </c>
      <c r="C887" s="2">
        <v>131538177794172</v>
      </c>
    </row>
    <row r="888" spans="2:7" x14ac:dyDescent="0.25">
      <c r="B888" t="s">
        <v>983</v>
      </c>
      <c r="C888" s="2">
        <v>167164876226063</v>
      </c>
    </row>
    <row r="889" spans="2:7" x14ac:dyDescent="0.25">
      <c r="B889" t="s">
        <v>984</v>
      </c>
      <c r="C889" s="2">
        <v>143918105178643</v>
      </c>
      <c r="E889" s="49" t="s">
        <v>985</v>
      </c>
      <c r="F889" s="48"/>
      <c r="G889" s="47"/>
    </row>
    <row r="890" spans="2:7" x14ac:dyDescent="0.25">
      <c r="B890" t="s">
        <v>986</v>
      </c>
      <c r="C890">
        <v>42800</v>
      </c>
      <c r="E890" s="44" t="s">
        <v>57</v>
      </c>
      <c r="F890" s="44" t="s">
        <v>49</v>
      </c>
      <c r="G890" s="44" t="s">
        <v>50</v>
      </c>
    </row>
    <row r="891" spans="2:7" x14ac:dyDescent="0.25">
      <c r="B891" t="s">
        <v>987</v>
      </c>
      <c r="C891">
        <v>50100</v>
      </c>
      <c r="E891" s="44" t="s">
        <v>36</v>
      </c>
      <c r="F891" s="4">
        <v>42800</v>
      </c>
      <c r="G891" s="4">
        <v>50100</v>
      </c>
    </row>
    <row r="892" spans="2:7" x14ac:dyDescent="0.25">
      <c r="B892" t="s">
        <v>988</v>
      </c>
      <c r="C892">
        <v>30200</v>
      </c>
      <c r="E892" s="44" t="s">
        <v>37</v>
      </c>
      <c r="F892" s="4">
        <v>30200</v>
      </c>
      <c r="G892" s="4">
        <v>35600</v>
      </c>
    </row>
    <row r="893" spans="2:7" x14ac:dyDescent="0.25">
      <c r="B893" t="s">
        <v>989</v>
      </c>
      <c r="C893">
        <v>35600</v>
      </c>
      <c r="E893" s="44" t="s">
        <v>38</v>
      </c>
      <c r="F893" s="4">
        <v>44160</v>
      </c>
      <c r="G893" s="4">
        <v>47100</v>
      </c>
    </row>
    <row r="894" spans="2:7" x14ac:dyDescent="0.25">
      <c r="B894" t="s">
        <v>990</v>
      </c>
      <c r="C894">
        <v>44160</v>
      </c>
      <c r="E894" s="44" t="s">
        <v>39</v>
      </c>
      <c r="F894" s="4">
        <v>33990</v>
      </c>
      <c r="G894" s="4">
        <v>36700</v>
      </c>
    </row>
    <row r="895" spans="2:7" x14ac:dyDescent="0.25">
      <c r="B895" t="s">
        <v>991</v>
      </c>
      <c r="C895">
        <v>47100</v>
      </c>
    </row>
    <row r="896" spans="2:7" x14ac:dyDescent="0.25">
      <c r="B896" t="s">
        <v>992</v>
      </c>
      <c r="C896">
        <v>33990</v>
      </c>
    </row>
    <row r="897" spans="2:3" x14ac:dyDescent="0.25">
      <c r="B897" t="s">
        <v>993</v>
      </c>
      <c r="C897">
        <v>36700</v>
      </c>
    </row>
    <row r="898" spans="2:3" x14ac:dyDescent="0.25">
      <c r="B898" t="s">
        <v>994</v>
      </c>
      <c r="C898">
        <v>50100</v>
      </c>
    </row>
    <row r="899" spans="2:3" x14ac:dyDescent="0.25">
      <c r="B899" t="s">
        <v>995</v>
      </c>
      <c r="C899">
        <v>42800</v>
      </c>
    </row>
    <row r="900" spans="2:3" x14ac:dyDescent="0.25">
      <c r="B900" t="s">
        <v>996</v>
      </c>
      <c r="C900">
        <v>40810</v>
      </c>
    </row>
    <row r="901" spans="2:3" x14ac:dyDescent="0.25">
      <c r="B901" t="s">
        <v>997</v>
      </c>
      <c r="C901">
        <v>40900</v>
      </c>
    </row>
    <row r="902" spans="2:3" x14ac:dyDescent="0.25">
      <c r="B902" t="s">
        <v>998</v>
      </c>
      <c r="C902">
        <v>38300</v>
      </c>
    </row>
    <row r="903" spans="2:3" x14ac:dyDescent="0.25">
      <c r="B903" t="s">
        <v>999</v>
      </c>
      <c r="C903">
        <v>41060</v>
      </c>
    </row>
    <row r="904" spans="2:3" x14ac:dyDescent="0.25">
      <c r="B904" t="s">
        <v>1000</v>
      </c>
      <c r="C904">
        <v>42800</v>
      </c>
    </row>
    <row r="905" spans="2:3" x14ac:dyDescent="0.25">
      <c r="B905" t="s">
        <v>1001</v>
      </c>
      <c r="C905">
        <v>38300</v>
      </c>
    </row>
    <row r="906" spans="2:3" x14ac:dyDescent="0.25">
      <c r="B906" t="s">
        <v>1002</v>
      </c>
      <c r="C906">
        <v>40810</v>
      </c>
    </row>
    <row r="907" spans="2:3" x14ac:dyDescent="0.25">
      <c r="B907" t="s">
        <v>1003</v>
      </c>
      <c r="C907">
        <v>40900</v>
      </c>
    </row>
    <row r="908" spans="2:3" x14ac:dyDescent="0.25">
      <c r="B908" t="s">
        <v>1004</v>
      </c>
      <c r="C908">
        <v>40550</v>
      </c>
    </row>
    <row r="909" spans="2:3" x14ac:dyDescent="0.25">
      <c r="B909" t="s">
        <v>1005</v>
      </c>
      <c r="C909">
        <v>41680</v>
      </c>
    </row>
    <row r="910" spans="2:3" x14ac:dyDescent="0.25">
      <c r="B910" t="s">
        <v>1006</v>
      </c>
      <c r="C910">
        <v>40900</v>
      </c>
    </row>
    <row r="911" spans="2:3" x14ac:dyDescent="0.25">
      <c r="B911" t="s">
        <v>1007</v>
      </c>
      <c r="C911">
        <v>50100</v>
      </c>
    </row>
    <row r="912" spans="2:3" x14ac:dyDescent="0.25">
      <c r="B912" t="s">
        <v>1008</v>
      </c>
      <c r="C912">
        <v>50100</v>
      </c>
    </row>
    <row r="913" spans="2:3" x14ac:dyDescent="0.25">
      <c r="B913" t="s">
        <v>1009</v>
      </c>
      <c r="C913">
        <v>47720</v>
      </c>
    </row>
    <row r="914" spans="2:3" x14ac:dyDescent="0.25">
      <c r="B914" t="s">
        <v>1010</v>
      </c>
      <c r="C914">
        <v>48640</v>
      </c>
    </row>
    <row r="915" spans="2:3" x14ac:dyDescent="0.25">
      <c r="B915" t="s">
        <v>1011</v>
      </c>
      <c r="C915">
        <v>47300</v>
      </c>
    </row>
    <row r="916" spans="2:3" x14ac:dyDescent="0.25">
      <c r="B916" t="s">
        <v>1012</v>
      </c>
      <c r="C916">
        <v>49120</v>
      </c>
    </row>
    <row r="917" spans="2:3" x14ac:dyDescent="0.25">
      <c r="B917" t="s">
        <v>1013</v>
      </c>
      <c r="C917">
        <v>50100</v>
      </c>
    </row>
    <row r="918" spans="2:3" x14ac:dyDescent="0.25">
      <c r="B918" t="s">
        <v>1014</v>
      </c>
      <c r="C918">
        <v>47300</v>
      </c>
    </row>
    <row r="919" spans="2:3" x14ac:dyDescent="0.25">
      <c r="B919" t="s">
        <v>1015</v>
      </c>
      <c r="C919">
        <v>47720</v>
      </c>
    </row>
    <row r="920" spans="2:3" x14ac:dyDescent="0.25">
      <c r="B920" t="s">
        <v>1016</v>
      </c>
      <c r="C920">
        <v>48640</v>
      </c>
    </row>
    <row r="921" spans="2:3" x14ac:dyDescent="0.25">
      <c r="B921" t="s">
        <v>1017</v>
      </c>
      <c r="C921">
        <v>48700</v>
      </c>
    </row>
    <row r="922" spans="2:3" x14ac:dyDescent="0.25">
      <c r="B922" t="s">
        <v>1018</v>
      </c>
      <c r="C922">
        <v>48210</v>
      </c>
    </row>
    <row r="923" spans="2:3" x14ac:dyDescent="0.25">
      <c r="B923" t="s">
        <v>1019</v>
      </c>
      <c r="C923">
        <v>48640</v>
      </c>
    </row>
    <row r="924" spans="2:3" x14ac:dyDescent="0.25">
      <c r="B924" t="s">
        <v>1020</v>
      </c>
      <c r="C924">
        <v>35600</v>
      </c>
    </row>
    <row r="925" spans="2:3" x14ac:dyDescent="0.25">
      <c r="B925" t="s">
        <v>1021</v>
      </c>
      <c r="C925">
        <v>30200</v>
      </c>
    </row>
    <row r="926" spans="2:3" x14ac:dyDescent="0.25">
      <c r="B926" t="s">
        <v>1022</v>
      </c>
      <c r="C926">
        <v>27820</v>
      </c>
    </row>
    <row r="927" spans="2:3" x14ac:dyDescent="0.25">
      <c r="B927" t="s">
        <v>1023</v>
      </c>
      <c r="C927">
        <v>27620</v>
      </c>
    </row>
    <row r="928" spans="2:3" x14ac:dyDescent="0.25">
      <c r="B928" t="s">
        <v>1024</v>
      </c>
      <c r="C928">
        <v>30200</v>
      </c>
    </row>
    <row r="929" spans="2:3" x14ac:dyDescent="0.25">
      <c r="B929" t="s">
        <v>1025</v>
      </c>
      <c r="C929">
        <v>29600</v>
      </c>
    </row>
    <row r="930" spans="2:3" x14ac:dyDescent="0.25">
      <c r="B930" t="s">
        <v>1026</v>
      </c>
      <c r="C930">
        <v>28910</v>
      </c>
    </row>
    <row r="931" spans="2:3" x14ac:dyDescent="0.25">
      <c r="B931" t="s">
        <v>1027</v>
      </c>
      <c r="C931">
        <v>26400</v>
      </c>
    </row>
    <row r="932" spans="2:3" x14ac:dyDescent="0.25">
      <c r="B932" t="s">
        <v>1028</v>
      </c>
      <c r="C932">
        <v>27820</v>
      </c>
    </row>
    <row r="933" spans="2:3" x14ac:dyDescent="0.25">
      <c r="B933" t="s">
        <v>1029</v>
      </c>
      <c r="C933">
        <v>27620</v>
      </c>
    </row>
    <row r="934" spans="2:3" x14ac:dyDescent="0.25">
      <c r="B934" t="s">
        <v>1030</v>
      </c>
      <c r="C934">
        <v>30200</v>
      </c>
    </row>
    <row r="935" spans="2:3" x14ac:dyDescent="0.25">
      <c r="B935" t="s">
        <v>1031</v>
      </c>
      <c r="C935">
        <v>29600</v>
      </c>
    </row>
    <row r="936" spans="2:3" x14ac:dyDescent="0.25">
      <c r="B936" t="s">
        <v>1032</v>
      </c>
      <c r="C936">
        <v>28910</v>
      </c>
    </row>
    <row r="937" spans="2:3" x14ac:dyDescent="0.25">
      <c r="B937" t="s">
        <v>1033</v>
      </c>
      <c r="C937">
        <v>35600</v>
      </c>
    </row>
    <row r="938" spans="2:3" x14ac:dyDescent="0.25">
      <c r="B938" t="s">
        <v>1034</v>
      </c>
      <c r="C938">
        <v>35600</v>
      </c>
    </row>
    <row r="939" spans="2:3" x14ac:dyDescent="0.25">
      <c r="B939" t="s">
        <v>1035</v>
      </c>
      <c r="C939">
        <v>33860</v>
      </c>
    </row>
    <row r="940" spans="2:3" x14ac:dyDescent="0.25">
      <c r="B940" t="s">
        <v>1036</v>
      </c>
      <c r="C940">
        <v>33460</v>
      </c>
    </row>
    <row r="941" spans="2:3" x14ac:dyDescent="0.25">
      <c r="B941" t="s">
        <v>1037</v>
      </c>
      <c r="C941">
        <v>35600</v>
      </c>
    </row>
    <row r="942" spans="2:3" x14ac:dyDescent="0.25">
      <c r="B942" t="s">
        <v>1038</v>
      </c>
      <c r="C942">
        <v>35000</v>
      </c>
    </row>
    <row r="943" spans="2:3" x14ac:dyDescent="0.25">
      <c r="B943" t="s">
        <v>1039</v>
      </c>
      <c r="C943">
        <v>34530</v>
      </c>
    </row>
    <row r="944" spans="2:3" x14ac:dyDescent="0.25">
      <c r="B944" t="s">
        <v>1040</v>
      </c>
      <c r="C944">
        <v>34000</v>
      </c>
    </row>
    <row r="945" spans="2:3" x14ac:dyDescent="0.25">
      <c r="B945" t="s">
        <v>1041</v>
      </c>
      <c r="C945">
        <v>33860</v>
      </c>
    </row>
    <row r="946" spans="2:3" x14ac:dyDescent="0.25">
      <c r="B946" t="s">
        <v>1042</v>
      </c>
      <c r="C946">
        <v>33460</v>
      </c>
    </row>
    <row r="947" spans="2:3" x14ac:dyDescent="0.25">
      <c r="B947" t="s">
        <v>1043</v>
      </c>
      <c r="C947">
        <v>35600</v>
      </c>
    </row>
    <row r="948" spans="2:3" x14ac:dyDescent="0.25">
      <c r="B948" t="s">
        <v>1044</v>
      </c>
      <c r="C948">
        <v>35000</v>
      </c>
    </row>
    <row r="949" spans="2:3" x14ac:dyDescent="0.25">
      <c r="B949" t="s">
        <v>1045</v>
      </c>
      <c r="C949">
        <v>34530</v>
      </c>
    </row>
    <row r="950" spans="2:3" x14ac:dyDescent="0.25">
      <c r="B950" t="s">
        <v>1046</v>
      </c>
      <c r="C950">
        <v>47100</v>
      </c>
    </row>
    <row r="951" spans="2:3" x14ac:dyDescent="0.25">
      <c r="B951" t="s">
        <v>1047</v>
      </c>
      <c r="C951">
        <v>44160</v>
      </c>
    </row>
    <row r="952" spans="2:3" x14ac:dyDescent="0.25">
      <c r="B952" t="s">
        <v>1048</v>
      </c>
      <c r="C952">
        <v>41390</v>
      </c>
    </row>
    <row r="953" spans="2:3" x14ac:dyDescent="0.25">
      <c r="B953" t="s">
        <v>1049</v>
      </c>
      <c r="C953">
        <v>39360</v>
      </c>
    </row>
    <row r="954" spans="2:3" x14ac:dyDescent="0.25">
      <c r="B954" t="s">
        <v>1050</v>
      </c>
      <c r="C954">
        <v>41160</v>
      </c>
    </row>
    <row r="955" spans="2:3" x14ac:dyDescent="0.25">
      <c r="B955" t="s">
        <v>1051</v>
      </c>
      <c r="C955">
        <v>41620</v>
      </c>
    </row>
    <row r="956" spans="2:3" x14ac:dyDescent="0.25">
      <c r="B956" t="s">
        <v>1052</v>
      </c>
      <c r="C956">
        <v>44160</v>
      </c>
    </row>
    <row r="957" spans="2:3" x14ac:dyDescent="0.25">
      <c r="B957" t="s">
        <v>1053</v>
      </c>
      <c r="C957">
        <v>41910</v>
      </c>
    </row>
    <row r="958" spans="2:3" x14ac:dyDescent="0.25">
      <c r="B958" t="s">
        <v>1054</v>
      </c>
      <c r="C958">
        <v>41755</v>
      </c>
    </row>
    <row r="959" spans="2:3" x14ac:dyDescent="0.25">
      <c r="B959" t="s">
        <v>1055</v>
      </c>
      <c r="C959">
        <v>42560</v>
      </c>
    </row>
    <row r="960" spans="2:3" x14ac:dyDescent="0.25">
      <c r="B960" t="s">
        <v>1056</v>
      </c>
      <c r="C960">
        <v>41910</v>
      </c>
    </row>
    <row r="961" spans="2:3" x14ac:dyDescent="0.25">
      <c r="B961" t="s">
        <v>1057</v>
      </c>
      <c r="C961">
        <v>42255</v>
      </c>
    </row>
    <row r="962" spans="2:3" x14ac:dyDescent="0.25">
      <c r="B962" t="s">
        <v>1058</v>
      </c>
      <c r="C962">
        <v>44160</v>
      </c>
    </row>
    <row r="963" spans="2:3" x14ac:dyDescent="0.25">
      <c r="B963" t="s">
        <v>1059</v>
      </c>
      <c r="C963">
        <v>47100</v>
      </c>
    </row>
    <row r="964" spans="2:3" x14ac:dyDescent="0.25">
      <c r="B964" t="s">
        <v>1060</v>
      </c>
      <c r="C964">
        <v>47100</v>
      </c>
    </row>
    <row r="965" spans="2:3" x14ac:dyDescent="0.25">
      <c r="B965" t="s">
        <v>1061</v>
      </c>
      <c r="C965">
        <v>43600</v>
      </c>
    </row>
    <row r="966" spans="2:3" x14ac:dyDescent="0.25">
      <c r="B966" t="s">
        <v>1062</v>
      </c>
      <c r="C966">
        <v>42270</v>
      </c>
    </row>
    <row r="967" spans="2:3" x14ac:dyDescent="0.25">
      <c r="B967" t="s">
        <v>1063</v>
      </c>
      <c r="C967">
        <v>44220</v>
      </c>
    </row>
    <row r="968" spans="2:3" x14ac:dyDescent="0.25">
      <c r="B968" t="s">
        <v>1064</v>
      </c>
      <c r="C968">
        <v>46100</v>
      </c>
    </row>
    <row r="969" spans="2:3" x14ac:dyDescent="0.25">
      <c r="B969" t="s">
        <v>1065</v>
      </c>
      <c r="C969">
        <v>47100</v>
      </c>
    </row>
    <row r="970" spans="2:3" x14ac:dyDescent="0.25">
      <c r="B970" t="s">
        <v>1066</v>
      </c>
      <c r="C970">
        <v>44940</v>
      </c>
    </row>
    <row r="971" spans="2:3" x14ac:dyDescent="0.25">
      <c r="B971" t="s">
        <v>1067</v>
      </c>
      <c r="C971">
        <v>45350</v>
      </c>
    </row>
    <row r="972" spans="2:3" x14ac:dyDescent="0.25">
      <c r="B972" t="s">
        <v>1068</v>
      </c>
      <c r="C972">
        <v>45490</v>
      </c>
    </row>
    <row r="973" spans="2:3" x14ac:dyDescent="0.25">
      <c r="B973" t="s">
        <v>1069</v>
      </c>
      <c r="C973">
        <v>44940</v>
      </c>
    </row>
    <row r="974" spans="2:3" x14ac:dyDescent="0.25">
      <c r="B974" t="s">
        <v>1070</v>
      </c>
      <c r="C974">
        <v>46350</v>
      </c>
    </row>
    <row r="975" spans="2:3" x14ac:dyDescent="0.25">
      <c r="B975" t="s">
        <v>1071</v>
      </c>
      <c r="C975">
        <v>47100</v>
      </c>
    </row>
    <row r="976" spans="2:3" x14ac:dyDescent="0.25">
      <c r="B976" t="s">
        <v>1072</v>
      </c>
      <c r="C976">
        <v>36700</v>
      </c>
    </row>
    <row r="977" spans="2:3" x14ac:dyDescent="0.25">
      <c r="B977" t="s">
        <v>1073</v>
      </c>
      <c r="C977">
        <v>33990</v>
      </c>
    </row>
    <row r="978" spans="2:3" x14ac:dyDescent="0.25">
      <c r="B978" t="s">
        <v>1074</v>
      </c>
      <c r="C978">
        <v>1620</v>
      </c>
    </row>
    <row r="979" spans="2:3" x14ac:dyDescent="0.25">
      <c r="B979" t="s">
        <v>1075</v>
      </c>
      <c r="C979">
        <v>1900</v>
      </c>
    </row>
    <row r="980" spans="2:3" x14ac:dyDescent="0.25">
      <c r="B980" t="s">
        <v>1076</v>
      </c>
      <c r="C980">
        <v>1200</v>
      </c>
    </row>
    <row r="981" spans="2:3" x14ac:dyDescent="0.25">
      <c r="B981" t="s">
        <v>1077</v>
      </c>
      <c r="C981">
        <v>1740</v>
      </c>
    </row>
    <row r="982" spans="2:3" x14ac:dyDescent="0.25">
      <c r="B982" t="s">
        <v>1078</v>
      </c>
      <c r="C982">
        <v>1200</v>
      </c>
    </row>
    <row r="983" spans="2:3" x14ac:dyDescent="0.25">
      <c r="B983" t="s">
        <v>1079</v>
      </c>
      <c r="C983">
        <v>1990</v>
      </c>
    </row>
    <row r="984" spans="2:3" x14ac:dyDescent="0.25">
      <c r="B984" t="s">
        <v>1080</v>
      </c>
      <c r="C984">
        <v>1900</v>
      </c>
    </row>
    <row r="985" spans="2:3" x14ac:dyDescent="0.25">
      <c r="B985" t="s">
        <v>1081</v>
      </c>
      <c r="C985">
        <v>2250</v>
      </c>
    </row>
    <row r="986" spans="2:3" x14ac:dyDescent="0.25">
      <c r="B986" t="s">
        <v>1082</v>
      </c>
      <c r="C986">
        <v>1120</v>
      </c>
    </row>
    <row r="987" spans="2:3" x14ac:dyDescent="0.25">
      <c r="B987" t="s">
        <v>1083</v>
      </c>
      <c r="C987">
        <v>1900</v>
      </c>
    </row>
    <row r="988" spans="2:3" x14ac:dyDescent="0.25">
      <c r="B988" t="s">
        <v>1084</v>
      </c>
      <c r="C988">
        <v>2380</v>
      </c>
    </row>
    <row r="989" spans="2:3" x14ac:dyDescent="0.25">
      <c r="B989" t="s">
        <v>1085</v>
      </c>
      <c r="C989">
        <v>1460</v>
      </c>
    </row>
    <row r="990" spans="2:3" x14ac:dyDescent="0.25">
      <c r="B990" t="s">
        <v>1086</v>
      </c>
      <c r="C990">
        <v>2800</v>
      </c>
    </row>
    <row r="991" spans="2:3" x14ac:dyDescent="0.25">
      <c r="B991" t="s">
        <v>1087</v>
      </c>
      <c r="C991">
        <v>980</v>
      </c>
    </row>
    <row r="992" spans="2:3" x14ac:dyDescent="0.25">
      <c r="B992" t="s">
        <v>1088</v>
      </c>
      <c r="C992">
        <v>2800</v>
      </c>
    </row>
    <row r="993" spans="2:3" x14ac:dyDescent="0.25">
      <c r="B993" t="s">
        <v>1089</v>
      </c>
      <c r="C993">
        <v>2010</v>
      </c>
    </row>
    <row r="994" spans="2:3" x14ac:dyDescent="0.25">
      <c r="B994" t="s">
        <v>1090</v>
      </c>
      <c r="C994">
        <v>1460</v>
      </c>
    </row>
    <row r="995" spans="2:3" x14ac:dyDescent="0.25">
      <c r="B995" t="s">
        <v>1091</v>
      </c>
      <c r="C995">
        <v>1400</v>
      </c>
    </row>
    <row r="996" spans="2:3" x14ac:dyDescent="0.25">
      <c r="B996" t="s">
        <v>1092</v>
      </c>
      <c r="C996">
        <v>1890</v>
      </c>
    </row>
    <row r="997" spans="2:3" x14ac:dyDescent="0.25">
      <c r="B997" t="s">
        <v>1093</v>
      </c>
      <c r="C997">
        <v>1460</v>
      </c>
    </row>
    <row r="998" spans="2:3" x14ac:dyDescent="0.25">
      <c r="B998" t="s">
        <v>1094</v>
      </c>
      <c r="C998">
        <v>2380</v>
      </c>
    </row>
    <row r="999" spans="2:3" x14ac:dyDescent="0.25">
      <c r="B999" t="s">
        <v>1095</v>
      </c>
      <c r="C999">
        <v>2580</v>
      </c>
    </row>
    <row r="1000" spans="2:3" x14ac:dyDescent="0.25">
      <c r="B1000" t="s">
        <v>1096</v>
      </c>
      <c r="C1000">
        <v>600</v>
      </c>
    </row>
    <row r="1001" spans="2:3" x14ac:dyDescent="0.25">
      <c r="B1001" t="s">
        <v>1097</v>
      </c>
      <c r="C1001">
        <v>1290</v>
      </c>
    </row>
    <row r="1002" spans="2:3" x14ac:dyDescent="0.25">
      <c r="B1002" t="s">
        <v>1098</v>
      </c>
      <c r="C1002">
        <v>3800</v>
      </c>
    </row>
    <row r="1003" spans="2:3" x14ac:dyDescent="0.25">
      <c r="B1003" t="s">
        <v>1099</v>
      </c>
      <c r="C1003">
        <v>2380</v>
      </c>
    </row>
    <row r="1004" spans="2:3" x14ac:dyDescent="0.25">
      <c r="B1004" t="s">
        <v>1100</v>
      </c>
      <c r="C1004">
        <v>1860</v>
      </c>
    </row>
    <row r="1005" spans="2:3" x14ac:dyDescent="0.25">
      <c r="B1005" t="s">
        <v>1101</v>
      </c>
      <c r="C1005">
        <v>600</v>
      </c>
    </row>
    <row r="1006" spans="2:3" x14ac:dyDescent="0.25">
      <c r="B1006" t="s">
        <v>1102</v>
      </c>
      <c r="C1006">
        <v>1290</v>
      </c>
    </row>
    <row r="1007" spans="2:3" x14ac:dyDescent="0.25">
      <c r="B1007" t="s">
        <v>1103</v>
      </c>
      <c r="C1007">
        <v>1620</v>
      </c>
    </row>
    <row r="1008" spans="2:3" x14ac:dyDescent="0.25">
      <c r="B1008" t="s">
        <v>1104</v>
      </c>
      <c r="C1008">
        <v>1420</v>
      </c>
    </row>
    <row r="1009" spans="2:3" x14ac:dyDescent="0.25">
      <c r="B1009" t="s">
        <v>1105</v>
      </c>
      <c r="C1009">
        <v>600</v>
      </c>
    </row>
    <row r="1010" spans="2:3" x14ac:dyDescent="0.25">
      <c r="B1010" t="s">
        <v>1106</v>
      </c>
      <c r="C1010">
        <v>1070</v>
      </c>
    </row>
    <row r="1011" spans="2:3" x14ac:dyDescent="0.25">
      <c r="B1011" t="s">
        <v>1107</v>
      </c>
      <c r="C1011">
        <v>200</v>
      </c>
    </row>
    <row r="1012" spans="2:3" x14ac:dyDescent="0.25">
      <c r="B1012" t="s">
        <v>1108</v>
      </c>
      <c r="C1012">
        <v>1620</v>
      </c>
    </row>
    <row r="1013" spans="2:3" x14ac:dyDescent="0.25">
      <c r="B1013" t="s">
        <v>1109</v>
      </c>
      <c r="C1013">
        <v>2140</v>
      </c>
    </row>
    <row r="1014" spans="2:3" x14ac:dyDescent="0.25">
      <c r="B1014" t="s">
        <v>1110</v>
      </c>
      <c r="C1014">
        <v>600</v>
      </c>
    </row>
    <row r="1015" spans="2:3" x14ac:dyDescent="0.25">
      <c r="B1015" t="s">
        <v>1111</v>
      </c>
      <c r="C1015">
        <v>1070</v>
      </c>
    </row>
    <row r="1016" spans="2:3" x14ac:dyDescent="0.25">
      <c r="B1016" t="s">
        <v>1112</v>
      </c>
      <c r="C1016">
        <v>2500</v>
      </c>
    </row>
    <row r="1017" spans="2:3" x14ac:dyDescent="0.25">
      <c r="B1017" t="s">
        <v>1113</v>
      </c>
      <c r="C1017">
        <v>1170</v>
      </c>
    </row>
    <row r="1018" spans="2:3" x14ac:dyDescent="0.25">
      <c r="B1018" t="s">
        <v>1114</v>
      </c>
      <c r="C1018">
        <v>3000</v>
      </c>
    </row>
    <row r="1019" spans="2:3" x14ac:dyDescent="0.25">
      <c r="B1019" t="s">
        <v>1115</v>
      </c>
      <c r="C1019">
        <v>2540</v>
      </c>
    </row>
    <row r="1020" spans="2:3" x14ac:dyDescent="0.25">
      <c r="B1020" t="s">
        <v>1116</v>
      </c>
      <c r="C1020">
        <v>2250</v>
      </c>
    </row>
    <row r="1021" spans="2:3" x14ac:dyDescent="0.25">
      <c r="B1021" t="s">
        <v>1117</v>
      </c>
      <c r="C1021">
        <v>2405</v>
      </c>
    </row>
    <row r="1022" spans="2:3" x14ac:dyDescent="0.25">
      <c r="B1022" t="s">
        <v>1118</v>
      </c>
      <c r="C1022">
        <v>1600</v>
      </c>
    </row>
    <row r="1023" spans="2:3" x14ac:dyDescent="0.25">
      <c r="B1023" t="s">
        <v>1119</v>
      </c>
      <c r="C1023">
        <v>2250</v>
      </c>
    </row>
    <row r="1024" spans="2:3" x14ac:dyDescent="0.25">
      <c r="B1024" t="s">
        <v>1120</v>
      </c>
      <c r="C1024">
        <v>1905</v>
      </c>
    </row>
    <row r="1025" spans="2:3" x14ac:dyDescent="0.25">
      <c r="B1025" t="s">
        <v>1121</v>
      </c>
      <c r="C1025">
        <v>3500</v>
      </c>
    </row>
    <row r="1026" spans="2:3" x14ac:dyDescent="0.25">
      <c r="B1026" t="s">
        <v>1122</v>
      </c>
      <c r="C1026">
        <v>4830</v>
      </c>
    </row>
    <row r="1027" spans="2:3" x14ac:dyDescent="0.25">
      <c r="B1027" t="s">
        <v>1123</v>
      </c>
      <c r="C1027">
        <v>2880</v>
      </c>
    </row>
    <row r="1028" spans="2:3" x14ac:dyDescent="0.25">
      <c r="B1028" t="s">
        <v>1124</v>
      </c>
      <c r="C1028">
        <v>1000</v>
      </c>
    </row>
    <row r="1029" spans="2:3" x14ac:dyDescent="0.25">
      <c r="B1029" t="s">
        <v>1125</v>
      </c>
      <c r="C1029">
        <v>2160</v>
      </c>
    </row>
    <row r="1030" spans="2:3" x14ac:dyDescent="0.25">
      <c r="B1030" t="s">
        <v>1126</v>
      </c>
      <c r="C1030">
        <v>1750</v>
      </c>
    </row>
    <row r="1031" spans="2:3" x14ac:dyDescent="0.25">
      <c r="B1031" t="s">
        <v>1127</v>
      </c>
      <c r="C1031">
        <v>1610</v>
      </c>
    </row>
    <row r="1032" spans="2:3" x14ac:dyDescent="0.25">
      <c r="B1032" t="s">
        <v>1128</v>
      </c>
      <c r="C1032">
        <v>2160</v>
      </c>
    </row>
    <row r="1033" spans="2:3" x14ac:dyDescent="0.25">
      <c r="B1033" t="s">
        <v>1129</v>
      </c>
      <c r="C1033">
        <v>750</v>
      </c>
    </row>
    <row r="1034" spans="2:3" x14ac:dyDescent="0.25">
      <c r="B1034" t="s">
        <v>1130</v>
      </c>
      <c r="C1034">
        <v>490</v>
      </c>
    </row>
    <row r="1035" spans="2:3" x14ac:dyDescent="0.25">
      <c r="B1035" t="s">
        <v>1131</v>
      </c>
      <c r="C1035">
        <v>2000</v>
      </c>
    </row>
    <row r="1036" spans="2:3" x14ac:dyDescent="0.25">
      <c r="B1036" t="s">
        <v>1132</v>
      </c>
      <c r="C1036">
        <v>960</v>
      </c>
    </row>
    <row r="1037" spans="2:3" x14ac:dyDescent="0.25">
      <c r="B1037" t="s">
        <v>1133</v>
      </c>
      <c r="C1037">
        <v>1090</v>
      </c>
    </row>
    <row r="1038" spans="2:3" x14ac:dyDescent="0.25">
      <c r="B1038" t="s">
        <v>1134</v>
      </c>
      <c r="C1038">
        <v>1150</v>
      </c>
    </row>
    <row r="1039" spans="2:3" x14ac:dyDescent="0.25">
      <c r="B1039" t="s">
        <v>1135</v>
      </c>
      <c r="C1039">
        <v>960</v>
      </c>
    </row>
    <row r="1040" spans="2:3" x14ac:dyDescent="0.25">
      <c r="B1040" t="s">
        <v>1136</v>
      </c>
      <c r="C1040">
        <v>1810</v>
      </c>
    </row>
    <row r="1041" spans="2:3" x14ac:dyDescent="0.25">
      <c r="B1041" t="s">
        <v>1137</v>
      </c>
      <c r="C1041">
        <v>300</v>
      </c>
    </row>
    <row r="1042" spans="2:3" x14ac:dyDescent="0.25">
      <c r="B1042" t="s">
        <v>1138</v>
      </c>
      <c r="C1042">
        <v>960</v>
      </c>
    </row>
    <row r="1043" spans="2:3" x14ac:dyDescent="0.25">
      <c r="B1043" t="s">
        <v>1139</v>
      </c>
      <c r="C1043">
        <v>1090</v>
      </c>
    </row>
    <row r="1044" spans="2:3" x14ac:dyDescent="0.25">
      <c r="B1044" t="s">
        <v>1140</v>
      </c>
      <c r="C1044">
        <v>1150</v>
      </c>
    </row>
    <row r="1045" spans="2:3" x14ac:dyDescent="0.25">
      <c r="B1045" t="s">
        <v>1141</v>
      </c>
      <c r="C1045">
        <v>1510</v>
      </c>
    </row>
    <row r="1046" spans="2:3" x14ac:dyDescent="0.25">
      <c r="B1046" t="s">
        <v>1142</v>
      </c>
      <c r="C1046">
        <v>1040</v>
      </c>
    </row>
    <row r="1047" spans="2:3" x14ac:dyDescent="0.25">
      <c r="B1047" t="s">
        <v>1143</v>
      </c>
      <c r="C1047">
        <v>910</v>
      </c>
    </row>
    <row r="1048" spans="2:3" x14ac:dyDescent="0.25">
      <c r="B1048" t="s">
        <v>1144</v>
      </c>
      <c r="C1048">
        <v>850</v>
      </c>
    </row>
    <row r="1049" spans="2:3" x14ac:dyDescent="0.25">
      <c r="B1049" t="s">
        <v>1145</v>
      </c>
      <c r="C1049">
        <v>1040</v>
      </c>
    </row>
    <row r="1050" spans="2:3" x14ac:dyDescent="0.25">
      <c r="B1050" t="s">
        <v>1146</v>
      </c>
      <c r="C1050">
        <v>190</v>
      </c>
    </row>
    <row r="1051" spans="2:3" x14ac:dyDescent="0.25">
      <c r="B1051" t="s">
        <v>1147</v>
      </c>
      <c r="C1051">
        <v>1700</v>
      </c>
    </row>
    <row r="1052" spans="2:3" x14ac:dyDescent="0.25">
      <c r="B1052" t="s">
        <v>1148</v>
      </c>
      <c r="C1052">
        <v>1040</v>
      </c>
    </row>
    <row r="1053" spans="2:3" x14ac:dyDescent="0.25">
      <c r="B1053" t="s">
        <v>1149</v>
      </c>
      <c r="C1053">
        <v>910</v>
      </c>
    </row>
    <row r="1054" spans="2:3" x14ac:dyDescent="0.25">
      <c r="B1054" t="s">
        <v>1150</v>
      </c>
      <c r="C1054">
        <v>850</v>
      </c>
    </row>
    <row r="1055" spans="2:3" x14ac:dyDescent="0.25">
      <c r="B1055" t="s">
        <v>1151</v>
      </c>
      <c r="C1055">
        <v>370</v>
      </c>
    </row>
    <row r="1056" spans="2:3" x14ac:dyDescent="0.25">
      <c r="B1056" t="s">
        <v>1152</v>
      </c>
      <c r="C1056">
        <v>3300</v>
      </c>
    </row>
    <row r="1057" spans="2:3" x14ac:dyDescent="0.25">
      <c r="B1057" t="s">
        <v>1153</v>
      </c>
      <c r="C1057">
        <v>3300</v>
      </c>
    </row>
    <row r="1058" spans="2:3" x14ac:dyDescent="0.25">
      <c r="B1058" t="s">
        <v>1154</v>
      </c>
      <c r="C1058">
        <v>370</v>
      </c>
    </row>
    <row r="1059" spans="2:3" x14ac:dyDescent="0.25">
      <c r="B1059" t="s">
        <v>1155</v>
      </c>
      <c r="C1059">
        <v>720</v>
      </c>
    </row>
    <row r="1060" spans="2:3" x14ac:dyDescent="0.25">
      <c r="B1060" t="s">
        <v>1156</v>
      </c>
      <c r="C1060">
        <v>120</v>
      </c>
    </row>
    <row r="1061" spans="2:3" x14ac:dyDescent="0.25">
      <c r="B1061" t="s">
        <v>1157</v>
      </c>
      <c r="C1061">
        <v>720</v>
      </c>
    </row>
    <row r="1062" spans="2:3" x14ac:dyDescent="0.25">
      <c r="B1062" t="s">
        <v>1158</v>
      </c>
      <c r="C1062">
        <v>1400</v>
      </c>
    </row>
    <row r="1063" spans="2:3" x14ac:dyDescent="0.25">
      <c r="B1063" t="s">
        <v>1159</v>
      </c>
      <c r="C1063">
        <v>120</v>
      </c>
    </row>
    <row r="1064" spans="2:3" x14ac:dyDescent="0.25">
      <c r="B1064" t="s">
        <v>1160</v>
      </c>
      <c r="C1064">
        <v>1320</v>
      </c>
    </row>
    <row r="1065" spans="2:3" x14ac:dyDescent="0.25">
      <c r="B1065" t="s">
        <v>1161</v>
      </c>
      <c r="C1065">
        <v>1280</v>
      </c>
    </row>
    <row r="1066" spans="2:3" x14ac:dyDescent="0.25">
      <c r="B1066" t="s">
        <v>1162</v>
      </c>
      <c r="C1066">
        <v>710</v>
      </c>
    </row>
    <row r="1067" spans="2:3" x14ac:dyDescent="0.25">
      <c r="B1067" t="s">
        <v>1163</v>
      </c>
      <c r="C1067">
        <v>140</v>
      </c>
    </row>
    <row r="1068" spans="2:3" x14ac:dyDescent="0.25">
      <c r="B1068" t="s">
        <v>1164</v>
      </c>
      <c r="C1068">
        <v>490</v>
      </c>
    </row>
    <row r="1069" spans="2:3" x14ac:dyDescent="0.25">
      <c r="B1069" t="s">
        <v>1165</v>
      </c>
      <c r="C1069">
        <v>710</v>
      </c>
    </row>
    <row r="1070" spans="2:3" x14ac:dyDescent="0.25">
      <c r="B1070" t="s">
        <v>1166</v>
      </c>
      <c r="C1070">
        <v>2980</v>
      </c>
    </row>
    <row r="1071" spans="2:3" x14ac:dyDescent="0.25">
      <c r="B1071" t="s">
        <v>1167</v>
      </c>
      <c r="C1071">
        <v>710</v>
      </c>
    </row>
    <row r="1072" spans="2:3" x14ac:dyDescent="0.25">
      <c r="B1072" t="s">
        <v>1168</v>
      </c>
      <c r="C1072">
        <v>140</v>
      </c>
    </row>
    <row r="1073" spans="2:3" x14ac:dyDescent="0.25">
      <c r="B1073" t="s">
        <v>1169</v>
      </c>
      <c r="C1073">
        <v>490</v>
      </c>
    </row>
    <row r="1074" spans="2:3" x14ac:dyDescent="0.25">
      <c r="B1074" t="s">
        <v>1170</v>
      </c>
      <c r="C1074">
        <v>1700</v>
      </c>
    </row>
    <row r="1075" spans="2:3" x14ac:dyDescent="0.25">
      <c r="B1075" t="s">
        <v>1171</v>
      </c>
      <c r="C1075">
        <v>1320</v>
      </c>
    </row>
    <row r="1076" spans="2:3" x14ac:dyDescent="0.25">
      <c r="B1076" t="s">
        <v>1172</v>
      </c>
      <c r="C1076">
        <v>1630</v>
      </c>
    </row>
    <row r="1077" spans="2:3" x14ac:dyDescent="0.25">
      <c r="B1077" t="s">
        <v>1173</v>
      </c>
      <c r="C1077">
        <v>270</v>
      </c>
    </row>
    <row r="1078" spans="2:3" x14ac:dyDescent="0.25">
      <c r="B1078" t="s">
        <v>1174</v>
      </c>
      <c r="C1078">
        <v>2000</v>
      </c>
    </row>
    <row r="1079" spans="2:3" x14ac:dyDescent="0.25">
      <c r="B1079" t="s">
        <v>1175</v>
      </c>
      <c r="C1079">
        <v>1400</v>
      </c>
    </row>
    <row r="1080" spans="2:3" x14ac:dyDescent="0.25">
      <c r="B1080" t="s">
        <v>1176</v>
      </c>
      <c r="C1080">
        <v>400</v>
      </c>
    </row>
    <row r="1081" spans="2:3" x14ac:dyDescent="0.25">
      <c r="B1081" t="s">
        <v>1177</v>
      </c>
      <c r="C1081">
        <v>300</v>
      </c>
    </row>
    <row r="1082" spans="2:3" x14ac:dyDescent="0.25">
      <c r="B1082" t="s">
        <v>1178</v>
      </c>
      <c r="C1082">
        <v>1400</v>
      </c>
    </row>
    <row r="1083" spans="2:3" x14ac:dyDescent="0.25">
      <c r="B1083" t="s">
        <v>1179</v>
      </c>
      <c r="C1083">
        <v>400</v>
      </c>
    </row>
    <row r="1084" spans="2:3" x14ac:dyDescent="0.25">
      <c r="B1084" t="s">
        <v>1180</v>
      </c>
      <c r="C1084">
        <v>1400</v>
      </c>
    </row>
    <row r="1085" spans="2:3" x14ac:dyDescent="0.25">
      <c r="B1085" t="s">
        <v>1181</v>
      </c>
      <c r="C1085">
        <v>400</v>
      </c>
    </row>
    <row r="1086" spans="2:3" x14ac:dyDescent="0.25">
      <c r="B1086" t="s">
        <v>1182</v>
      </c>
      <c r="C1086">
        <v>300</v>
      </c>
    </row>
    <row r="1087" spans="2:3" x14ac:dyDescent="0.25">
      <c r="B1087" t="s">
        <v>1183</v>
      </c>
      <c r="C1087">
        <v>700</v>
      </c>
    </row>
    <row r="1088" spans="2:3" x14ac:dyDescent="0.25">
      <c r="B1088" t="s">
        <v>1184</v>
      </c>
      <c r="C1088">
        <v>200</v>
      </c>
    </row>
    <row r="1089" spans="2:3" x14ac:dyDescent="0.25">
      <c r="B1089" t="s">
        <v>1185</v>
      </c>
      <c r="C1089">
        <v>300</v>
      </c>
    </row>
    <row r="1090" spans="2:3" x14ac:dyDescent="0.25">
      <c r="B1090" t="s">
        <v>1186</v>
      </c>
      <c r="C1090">
        <v>800</v>
      </c>
    </row>
    <row r="1091" spans="2:3" x14ac:dyDescent="0.25">
      <c r="B1091" t="s">
        <v>1187</v>
      </c>
      <c r="C1091">
        <v>600</v>
      </c>
    </row>
    <row r="1092" spans="2:3" x14ac:dyDescent="0.25">
      <c r="B1092" t="s">
        <v>1188</v>
      </c>
      <c r="C1092">
        <v>740</v>
      </c>
    </row>
    <row r="1093" spans="2:3" x14ac:dyDescent="0.25">
      <c r="B1093" t="s">
        <v>1189</v>
      </c>
      <c r="C1093">
        <v>300</v>
      </c>
    </row>
    <row r="1094" spans="2:3" x14ac:dyDescent="0.25">
      <c r="B1094" t="s">
        <v>1190</v>
      </c>
      <c r="C1094">
        <v>600</v>
      </c>
    </row>
    <row r="1095" spans="2:3" x14ac:dyDescent="0.25">
      <c r="B1095" t="s">
        <v>1191</v>
      </c>
      <c r="C1095">
        <v>740</v>
      </c>
    </row>
    <row r="1096" spans="2:3" x14ac:dyDescent="0.25">
      <c r="B1096" t="s">
        <v>1192</v>
      </c>
      <c r="C1096">
        <v>600</v>
      </c>
    </row>
    <row r="1097" spans="2:3" x14ac:dyDescent="0.25">
      <c r="B1097" t="s">
        <v>1193</v>
      </c>
      <c r="C1097">
        <v>740</v>
      </c>
    </row>
    <row r="1098" spans="2:3" x14ac:dyDescent="0.25">
      <c r="B1098" t="s">
        <v>1194</v>
      </c>
      <c r="C1098">
        <v>300</v>
      </c>
    </row>
    <row r="1099" spans="2:3" x14ac:dyDescent="0.25">
      <c r="B1099" t="s">
        <v>1195</v>
      </c>
      <c r="C1099">
        <v>300</v>
      </c>
    </row>
    <row r="1100" spans="2:3" x14ac:dyDescent="0.25">
      <c r="B1100" t="s">
        <v>1196</v>
      </c>
      <c r="C1100">
        <v>370</v>
      </c>
    </row>
    <row r="1101" spans="2:3" x14ac:dyDescent="0.25">
      <c r="B1101" t="s">
        <v>1197</v>
      </c>
      <c r="C1101">
        <v>300</v>
      </c>
    </row>
    <row r="1102" spans="2:3" x14ac:dyDescent="0.25">
      <c r="B1102" t="s">
        <v>1198</v>
      </c>
      <c r="C1102">
        <v>500</v>
      </c>
    </row>
    <row r="1103" spans="2:3" x14ac:dyDescent="0.25">
      <c r="B1103" t="s">
        <v>1199</v>
      </c>
      <c r="C1103">
        <v>600</v>
      </c>
    </row>
    <row r="1104" spans="2:3" x14ac:dyDescent="0.25">
      <c r="B1104" t="s">
        <v>1200</v>
      </c>
      <c r="C1104">
        <v>1000</v>
      </c>
    </row>
    <row r="1105" spans="2:3" x14ac:dyDescent="0.25">
      <c r="B1105" t="s">
        <v>1201</v>
      </c>
      <c r="C1105">
        <v>500</v>
      </c>
    </row>
    <row r="1106" spans="2:3" x14ac:dyDescent="0.25">
      <c r="B1106" t="s">
        <v>1202</v>
      </c>
      <c r="C1106">
        <v>600</v>
      </c>
    </row>
    <row r="1107" spans="2:3" x14ac:dyDescent="0.25">
      <c r="B1107" t="s">
        <v>1203</v>
      </c>
      <c r="C1107">
        <v>500</v>
      </c>
    </row>
    <row r="1108" spans="2:3" x14ac:dyDescent="0.25">
      <c r="B1108" t="s">
        <v>1204</v>
      </c>
      <c r="C1108">
        <v>600</v>
      </c>
    </row>
    <row r="1109" spans="2:3" x14ac:dyDescent="0.25">
      <c r="B1109" t="s">
        <v>1205</v>
      </c>
      <c r="C1109">
        <v>1000</v>
      </c>
    </row>
    <row r="1110" spans="2:3" x14ac:dyDescent="0.25">
      <c r="B1110" t="s">
        <v>1206</v>
      </c>
      <c r="C1110">
        <v>250</v>
      </c>
    </row>
    <row r="1111" spans="2:3" x14ac:dyDescent="0.25">
      <c r="B1111" t="s">
        <v>1207</v>
      </c>
      <c r="C1111">
        <v>300</v>
      </c>
    </row>
    <row r="1112" spans="2:3" x14ac:dyDescent="0.25">
      <c r="B1112" t="s">
        <v>1208</v>
      </c>
      <c r="C1112">
        <v>1000</v>
      </c>
    </row>
    <row r="1113" spans="2:3" x14ac:dyDescent="0.25">
      <c r="B1113" t="s">
        <v>1209</v>
      </c>
      <c r="C1113">
        <v>600</v>
      </c>
    </row>
    <row r="1114" spans="2:3" x14ac:dyDescent="0.25">
      <c r="B1114" t="s">
        <v>1210</v>
      </c>
      <c r="C1114">
        <v>800</v>
      </c>
    </row>
    <row r="1115" spans="2:3" x14ac:dyDescent="0.25">
      <c r="B1115" t="s">
        <v>1211</v>
      </c>
      <c r="C1115">
        <v>600</v>
      </c>
    </row>
    <row r="1116" spans="2:3" x14ac:dyDescent="0.25">
      <c r="B1116" t="s">
        <v>1212</v>
      </c>
      <c r="C1116">
        <v>2000</v>
      </c>
    </row>
    <row r="1117" spans="2:3" x14ac:dyDescent="0.25">
      <c r="B1117" t="s">
        <v>1213</v>
      </c>
      <c r="C1117">
        <v>250</v>
      </c>
    </row>
    <row r="1118" spans="2:3" x14ac:dyDescent="0.25">
      <c r="B1118" t="s">
        <v>1214</v>
      </c>
      <c r="C1118">
        <v>300</v>
      </c>
    </row>
    <row r="1119" spans="2:3" x14ac:dyDescent="0.25">
      <c r="B1119" t="s">
        <v>1215</v>
      </c>
      <c r="C1119">
        <v>2000</v>
      </c>
    </row>
    <row r="1120" spans="2:3" x14ac:dyDescent="0.25">
      <c r="B1120" t="s">
        <v>1216</v>
      </c>
      <c r="C1120">
        <v>2000</v>
      </c>
    </row>
    <row r="1121" spans="2:3" x14ac:dyDescent="0.25">
      <c r="B1121" t="s">
        <v>1217</v>
      </c>
      <c r="C1121">
        <v>250</v>
      </c>
    </row>
    <row r="1122" spans="2:3" x14ac:dyDescent="0.25">
      <c r="B1122" t="s">
        <v>1218</v>
      </c>
      <c r="C1122">
        <v>300</v>
      </c>
    </row>
    <row r="1123" spans="2:3" x14ac:dyDescent="0.25">
      <c r="B1123" t="s">
        <v>1219</v>
      </c>
      <c r="C1123">
        <v>1000</v>
      </c>
    </row>
    <row r="1124" spans="2:3" x14ac:dyDescent="0.25">
      <c r="B1124" t="s">
        <v>1220</v>
      </c>
      <c r="C1124">
        <v>250</v>
      </c>
    </row>
    <row r="1125" spans="2:3" x14ac:dyDescent="0.25">
      <c r="B1125" t="s">
        <v>1221</v>
      </c>
      <c r="C1125">
        <v>300</v>
      </c>
    </row>
    <row r="1126" spans="2:3" x14ac:dyDescent="0.25">
      <c r="B1126" t="s">
        <v>1222</v>
      </c>
      <c r="C1126">
        <v>980</v>
      </c>
    </row>
    <row r="1127" spans="2:3" x14ac:dyDescent="0.25">
      <c r="B1127" t="s">
        <v>1223</v>
      </c>
      <c r="C1127">
        <v>400</v>
      </c>
    </row>
    <row r="1128" spans="2:3" x14ac:dyDescent="0.25">
      <c r="B1128" t="s">
        <v>1224</v>
      </c>
      <c r="C1128">
        <v>800</v>
      </c>
    </row>
    <row r="1129" spans="2:3" x14ac:dyDescent="0.25">
      <c r="B1129" t="s">
        <v>1225</v>
      </c>
      <c r="C1129">
        <v>980</v>
      </c>
    </row>
    <row r="1130" spans="2:3" x14ac:dyDescent="0.25">
      <c r="B1130" t="s">
        <v>1226</v>
      </c>
      <c r="C1130">
        <v>800</v>
      </c>
    </row>
    <row r="1131" spans="2:3" x14ac:dyDescent="0.25">
      <c r="B1131" t="s">
        <v>1227</v>
      </c>
      <c r="C1131">
        <v>980</v>
      </c>
    </row>
    <row r="1132" spans="2:3" x14ac:dyDescent="0.25">
      <c r="B1132" t="s">
        <v>1228</v>
      </c>
      <c r="C1132">
        <v>400</v>
      </c>
    </row>
    <row r="1133" spans="2:3" x14ac:dyDescent="0.25">
      <c r="B1133" t="s">
        <v>1229</v>
      </c>
      <c r="C1133">
        <v>400</v>
      </c>
    </row>
    <row r="1134" spans="2:3" x14ac:dyDescent="0.25">
      <c r="B1134" t="s">
        <v>1230</v>
      </c>
      <c r="C1134">
        <v>490</v>
      </c>
    </row>
    <row r="1135" spans="2:3" x14ac:dyDescent="0.25">
      <c r="B1135" t="s">
        <v>1231</v>
      </c>
      <c r="C1135">
        <v>400</v>
      </c>
    </row>
    <row r="1136" spans="2:3" x14ac:dyDescent="0.25">
      <c r="B1136" t="s">
        <v>1232</v>
      </c>
      <c r="C1136">
        <v>700</v>
      </c>
    </row>
    <row r="1137" spans="2:3" x14ac:dyDescent="0.25">
      <c r="B1137" t="s">
        <v>1233</v>
      </c>
      <c r="C1137">
        <v>200</v>
      </c>
    </row>
    <row r="1138" spans="2:3" x14ac:dyDescent="0.25">
      <c r="B1138" t="s">
        <v>1234</v>
      </c>
      <c r="C1138">
        <v>600</v>
      </c>
    </row>
    <row r="1139" spans="2:3" x14ac:dyDescent="0.25">
      <c r="B1139" t="s">
        <v>1235</v>
      </c>
      <c r="C1139">
        <v>600</v>
      </c>
    </row>
    <row r="1140" spans="2:3" x14ac:dyDescent="0.25">
      <c r="B1140" t="s">
        <v>1236</v>
      </c>
      <c r="C1140">
        <v>700</v>
      </c>
    </row>
    <row r="1141" spans="2:3" x14ac:dyDescent="0.25">
      <c r="B1141" t="s">
        <v>1237</v>
      </c>
      <c r="C1141">
        <v>200</v>
      </c>
    </row>
    <row r="1142" spans="2:3" x14ac:dyDescent="0.25">
      <c r="B1142" t="s">
        <v>1238</v>
      </c>
      <c r="C1142">
        <v>300</v>
      </c>
    </row>
    <row r="1143" spans="2:3" x14ac:dyDescent="0.25">
      <c r="B1143" t="s">
        <v>1239</v>
      </c>
      <c r="C1143">
        <v>700</v>
      </c>
    </row>
    <row r="1144" spans="2:3" x14ac:dyDescent="0.25">
      <c r="B1144" t="s">
        <v>1240</v>
      </c>
      <c r="C1144">
        <v>200</v>
      </c>
    </row>
    <row r="1145" spans="2:3" x14ac:dyDescent="0.25">
      <c r="B1145" t="s">
        <v>1241</v>
      </c>
      <c r="C1145">
        <v>400</v>
      </c>
    </row>
    <row r="1146" spans="2:3" x14ac:dyDescent="0.25">
      <c r="B1146" t="s">
        <v>1242</v>
      </c>
      <c r="C1146">
        <v>490</v>
      </c>
    </row>
    <row r="1147" spans="2:3" x14ac:dyDescent="0.25">
      <c r="B1147" t="s">
        <v>1243</v>
      </c>
      <c r="C1147">
        <v>800</v>
      </c>
    </row>
    <row r="1148" spans="2:3" x14ac:dyDescent="0.25">
      <c r="B1148" t="s">
        <v>1244</v>
      </c>
      <c r="C1148">
        <v>800</v>
      </c>
    </row>
    <row r="1149" spans="2:3" x14ac:dyDescent="0.25">
      <c r="B1149" t="s">
        <v>1245</v>
      </c>
      <c r="C1149">
        <v>400</v>
      </c>
    </row>
    <row r="1150" spans="2:3" x14ac:dyDescent="0.25">
      <c r="B1150" t="s">
        <v>1246</v>
      </c>
      <c r="C1150">
        <v>490</v>
      </c>
    </row>
    <row r="1151" spans="2:3" x14ac:dyDescent="0.25">
      <c r="B1151" t="s">
        <v>1247</v>
      </c>
      <c r="C1151">
        <v>400</v>
      </c>
    </row>
    <row r="1152" spans="2:3" x14ac:dyDescent="0.25">
      <c r="B1152" t="s">
        <v>1248</v>
      </c>
      <c r="C1152">
        <v>400</v>
      </c>
    </row>
    <row r="1153" spans="2:3" x14ac:dyDescent="0.25">
      <c r="B1153" t="s">
        <v>1249</v>
      </c>
      <c r="C1153">
        <v>490</v>
      </c>
    </row>
    <row r="1154" spans="2:3" x14ac:dyDescent="0.25">
      <c r="B1154" t="s">
        <v>1250</v>
      </c>
      <c r="C1154">
        <v>300</v>
      </c>
    </row>
    <row r="1155" spans="2:3" x14ac:dyDescent="0.25">
      <c r="B1155" t="s">
        <v>1251</v>
      </c>
      <c r="C1155">
        <v>370</v>
      </c>
    </row>
    <row r="1156" spans="2:3" x14ac:dyDescent="0.25">
      <c r="B1156" t="s">
        <v>1252</v>
      </c>
      <c r="C1156">
        <v>600</v>
      </c>
    </row>
    <row r="1157" spans="2:3" x14ac:dyDescent="0.25">
      <c r="B1157" t="s">
        <v>1253</v>
      </c>
      <c r="C1157">
        <v>600</v>
      </c>
    </row>
    <row r="1158" spans="2:3" x14ac:dyDescent="0.25">
      <c r="B1158" t="s">
        <v>1254</v>
      </c>
      <c r="C1158">
        <v>300</v>
      </c>
    </row>
    <row r="1159" spans="2:3" x14ac:dyDescent="0.25">
      <c r="B1159" t="s">
        <v>1255</v>
      </c>
      <c r="C1159">
        <v>370</v>
      </c>
    </row>
    <row r="1160" spans="2:3" x14ac:dyDescent="0.25">
      <c r="B1160" t="s">
        <v>1256</v>
      </c>
      <c r="C1160">
        <v>300</v>
      </c>
    </row>
    <row r="1161" spans="2:3" x14ac:dyDescent="0.25">
      <c r="B1161" t="s">
        <v>1257</v>
      </c>
      <c r="C1161">
        <v>300</v>
      </c>
    </row>
    <row r="1162" spans="2:3" x14ac:dyDescent="0.25">
      <c r="B1162" t="s">
        <v>1258</v>
      </c>
      <c r="C1162">
        <v>370</v>
      </c>
    </row>
    <row r="1163" spans="2:3" x14ac:dyDescent="0.25">
      <c r="B1163" t="s">
        <v>1259</v>
      </c>
      <c r="C1163">
        <v>400</v>
      </c>
    </row>
    <row r="1164" spans="2:3" x14ac:dyDescent="0.25">
      <c r="B1164" t="s">
        <v>1260</v>
      </c>
      <c r="C1164">
        <v>400</v>
      </c>
    </row>
    <row r="1165" spans="2:3" x14ac:dyDescent="0.25">
      <c r="B1165" t="s">
        <v>1261</v>
      </c>
      <c r="C1165">
        <v>400</v>
      </c>
    </row>
    <row r="1166" spans="2:3" x14ac:dyDescent="0.25">
      <c r="B1166" t="s">
        <v>1262</v>
      </c>
      <c r="C1166">
        <v>200</v>
      </c>
    </row>
    <row r="1167" spans="2:3" x14ac:dyDescent="0.25">
      <c r="B1167" t="s">
        <v>1263</v>
      </c>
      <c r="C1167">
        <v>400</v>
      </c>
    </row>
    <row r="1168" spans="2:3" x14ac:dyDescent="0.25">
      <c r="B1168" t="s">
        <v>1264</v>
      </c>
      <c r="C1168">
        <v>400</v>
      </c>
    </row>
    <row r="1169" spans="2:3" x14ac:dyDescent="0.25">
      <c r="B1169" t="s">
        <v>1265</v>
      </c>
      <c r="C1169">
        <v>400</v>
      </c>
    </row>
    <row r="1170" spans="2:3" x14ac:dyDescent="0.25">
      <c r="B1170" t="s">
        <v>1266</v>
      </c>
      <c r="C1170">
        <v>200</v>
      </c>
    </row>
    <row r="1171" spans="2:3" x14ac:dyDescent="0.25">
      <c r="B1171" t="s">
        <v>1267</v>
      </c>
      <c r="C1171">
        <v>600</v>
      </c>
    </row>
    <row r="1172" spans="2:3" x14ac:dyDescent="0.25">
      <c r="B1172" t="s">
        <v>1268</v>
      </c>
      <c r="C1172">
        <v>800</v>
      </c>
    </row>
    <row r="1173" spans="2:3" x14ac:dyDescent="0.25">
      <c r="B1173" t="s">
        <v>1269</v>
      </c>
      <c r="C1173">
        <v>340</v>
      </c>
    </row>
    <row r="1174" spans="2:3" x14ac:dyDescent="0.25">
      <c r="B1174" t="s">
        <v>1270</v>
      </c>
      <c r="C1174">
        <v>600</v>
      </c>
    </row>
    <row r="1175" spans="2:3" x14ac:dyDescent="0.25">
      <c r="B1175" t="s">
        <v>1271</v>
      </c>
      <c r="C1175">
        <v>300</v>
      </c>
    </row>
    <row r="1176" spans="2:3" x14ac:dyDescent="0.25">
      <c r="B1176" t="s">
        <v>1272</v>
      </c>
      <c r="C1176">
        <v>800</v>
      </c>
    </row>
    <row r="1177" spans="2:3" x14ac:dyDescent="0.25">
      <c r="B1177" t="s">
        <v>1273</v>
      </c>
      <c r="C1177">
        <v>340</v>
      </c>
    </row>
    <row r="1178" spans="2:3" x14ac:dyDescent="0.25">
      <c r="B1178" t="s">
        <v>1274</v>
      </c>
      <c r="C1178">
        <v>600</v>
      </c>
    </row>
    <row r="1179" spans="2:3" x14ac:dyDescent="0.25">
      <c r="B1179" t="s">
        <v>1275</v>
      </c>
      <c r="C1179">
        <v>300</v>
      </c>
    </row>
    <row r="1180" spans="2:3" x14ac:dyDescent="0.25">
      <c r="B1180" t="s">
        <v>1276</v>
      </c>
      <c r="C1180">
        <v>600</v>
      </c>
    </row>
    <row r="1181" spans="2:3" x14ac:dyDescent="0.25">
      <c r="B1181" t="s">
        <v>1277</v>
      </c>
      <c r="C1181">
        <v>440</v>
      </c>
    </row>
    <row r="1182" spans="2:3" x14ac:dyDescent="0.25">
      <c r="B1182" t="s">
        <v>1278</v>
      </c>
      <c r="C1182">
        <v>600</v>
      </c>
    </row>
    <row r="1183" spans="2:3" x14ac:dyDescent="0.25">
      <c r="B1183" t="s">
        <v>1279</v>
      </c>
      <c r="C1183">
        <v>300</v>
      </c>
    </row>
    <row r="1184" spans="2:3" x14ac:dyDescent="0.25">
      <c r="B1184" t="s">
        <v>1280</v>
      </c>
      <c r="C1184">
        <v>600</v>
      </c>
    </row>
    <row r="1185" spans="2:3" x14ac:dyDescent="0.25">
      <c r="B1185" t="s">
        <v>1281</v>
      </c>
      <c r="C1185">
        <v>440</v>
      </c>
    </row>
    <row r="1186" spans="2:3" x14ac:dyDescent="0.25">
      <c r="B1186" t="s">
        <v>1282</v>
      </c>
      <c r="C1186">
        <v>600</v>
      </c>
    </row>
    <row r="1187" spans="2:3" x14ac:dyDescent="0.25">
      <c r="B1187" t="s">
        <v>1283</v>
      </c>
      <c r="C1187">
        <v>300</v>
      </c>
    </row>
    <row r="1188" spans="2:3" x14ac:dyDescent="0.25">
      <c r="B1188" t="s">
        <v>1284</v>
      </c>
      <c r="C1188">
        <v>400</v>
      </c>
    </row>
    <row r="1189" spans="2:3" x14ac:dyDescent="0.25">
      <c r="B1189" t="s">
        <v>1285</v>
      </c>
      <c r="C1189">
        <v>1400</v>
      </c>
    </row>
    <row r="1190" spans="2:3" x14ac:dyDescent="0.25">
      <c r="B1190" t="s">
        <v>1286</v>
      </c>
      <c r="C1190">
        <v>600</v>
      </c>
    </row>
    <row r="1191" spans="2:3" x14ac:dyDescent="0.25">
      <c r="B1191" t="s">
        <v>1287</v>
      </c>
      <c r="C1191">
        <v>540</v>
      </c>
    </row>
    <row r="1192" spans="2:3" x14ac:dyDescent="0.25">
      <c r="B1192" t="s">
        <v>1288</v>
      </c>
      <c r="C1192">
        <v>300</v>
      </c>
    </row>
    <row r="1193" spans="2:3" x14ac:dyDescent="0.25">
      <c r="B1193" t="s">
        <v>1289</v>
      </c>
      <c r="C1193">
        <v>270</v>
      </c>
    </row>
    <row r="1194" spans="2:3" x14ac:dyDescent="0.25">
      <c r="B1194" t="s">
        <v>1290</v>
      </c>
      <c r="C1194">
        <v>1400</v>
      </c>
    </row>
    <row r="1195" spans="2:3" x14ac:dyDescent="0.25">
      <c r="B1195" t="s">
        <v>1291</v>
      </c>
      <c r="C1195">
        <v>600</v>
      </c>
    </row>
    <row r="1196" spans="2:3" x14ac:dyDescent="0.25">
      <c r="B1196" t="s">
        <v>1292</v>
      </c>
      <c r="C1196">
        <v>540</v>
      </c>
    </row>
    <row r="1197" spans="2:3" x14ac:dyDescent="0.25">
      <c r="B1197" t="s">
        <v>1293</v>
      </c>
      <c r="C1197">
        <v>300</v>
      </c>
    </row>
    <row r="1198" spans="2:3" x14ac:dyDescent="0.25">
      <c r="B1198" t="s">
        <v>1294</v>
      </c>
      <c r="C1198">
        <v>270</v>
      </c>
    </row>
    <row r="1199" spans="2:3" x14ac:dyDescent="0.25">
      <c r="B1199" t="s">
        <v>1295</v>
      </c>
      <c r="C1199">
        <v>600</v>
      </c>
    </row>
    <row r="1200" spans="2:3" x14ac:dyDescent="0.25">
      <c r="B1200" t="s">
        <v>1296</v>
      </c>
      <c r="C1200">
        <v>600</v>
      </c>
    </row>
    <row r="1201" spans="2:3" x14ac:dyDescent="0.25">
      <c r="B1201" t="s">
        <v>1297</v>
      </c>
      <c r="C1201">
        <v>600</v>
      </c>
    </row>
    <row r="1202" spans="2:3" x14ac:dyDescent="0.25">
      <c r="B1202" t="s">
        <v>1298</v>
      </c>
      <c r="C1202">
        <v>440</v>
      </c>
    </row>
    <row r="1203" spans="2:3" x14ac:dyDescent="0.25">
      <c r="B1203" t="s">
        <v>1299</v>
      </c>
      <c r="C1203">
        <v>300</v>
      </c>
    </row>
    <row r="1204" spans="2:3" x14ac:dyDescent="0.25">
      <c r="B1204" t="s">
        <v>1300</v>
      </c>
      <c r="C1204">
        <v>220</v>
      </c>
    </row>
    <row r="1205" spans="2:3" x14ac:dyDescent="0.25">
      <c r="B1205" t="s">
        <v>1301</v>
      </c>
      <c r="C1205">
        <v>600</v>
      </c>
    </row>
    <row r="1206" spans="2:3" x14ac:dyDescent="0.25">
      <c r="B1206" t="s">
        <v>1302</v>
      </c>
      <c r="C1206">
        <v>600</v>
      </c>
    </row>
    <row r="1207" spans="2:3" x14ac:dyDescent="0.25">
      <c r="B1207" t="s">
        <v>1303</v>
      </c>
      <c r="C1207">
        <v>440</v>
      </c>
    </row>
    <row r="1208" spans="2:3" x14ac:dyDescent="0.25">
      <c r="B1208" t="s">
        <v>1304</v>
      </c>
      <c r="C1208">
        <v>300</v>
      </c>
    </row>
    <row r="1209" spans="2:3" x14ac:dyDescent="0.25">
      <c r="B1209" t="s">
        <v>1305</v>
      </c>
      <c r="C1209">
        <v>220</v>
      </c>
    </row>
    <row r="1210" spans="2:3" x14ac:dyDescent="0.25">
      <c r="B1210" t="s">
        <v>1306</v>
      </c>
      <c r="C1210">
        <v>540</v>
      </c>
    </row>
    <row r="1211" spans="2:3" x14ac:dyDescent="0.25">
      <c r="B1211" t="s">
        <v>1307</v>
      </c>
      <c r="C1211">
        <v>1400</v>
      </c>
    </row>
    <row r="1212" spans="2:3" x14ac:dyDescent="0.25">
      <c r="B1212" t="s">
        <v>1308</v>
      </c>
      <c r="C1212">
        <v>700</v>
      </c>
    </row>
    <row r="1213" spans="2:3" x14ac:dyDescent="0.25">
      <c r="B1213" t="s">
        <v>1309</v>
      </c>
      <c r="C1213">
        <v>600</v>
      </c>
    </row>
    <row r="1214" spans="2:3" x14ac:dyDescent="0.25">
      <c r="B1214" t="s">
        <v>1310</v>
      </c>
      <c r="C1214">
        <v>540</v>
      </c>
    </row>
    <row r="1215" spans="2:3" x14ac:dyDescent="0.25">
      <c r="B1215" t="s">
        <v>1311</v>
      </c>
      <c r="C1215">
        <v>1400</v>
      </c>
    </row>
    <row r="1216" spans="2:3" x14ac:dyDescent="0.25">
      <c r="B1216" t="s">
        <v>1312</v>
      </c>
      <c r="C1216">
        <v>700</v>
      </c>
    </row>
    <row r="1217" spans="2:3" x14ac:dyDescent="0.25">
      <c r="B1217" t="s">
        <v>1313</v>
      </c>
      <c r="C1217">
        <v>400</v>
      </c>
    </row>
    <row r="1218" spans="2:3" x14ac:dyDescent="0.25">
      <c r="B1218" t="s">
        <v>1314</v>
      </c>
      <c r="C1218">
        <v>400</v>
      </c>
    </row>
    <row r="1219" spans="2:3" x14ac:dyDescent="0.25">
      <c r="B1219" t="s">
        <v>1315</v>
      </c>
      <c r="C1219">
        <v>200</v>
      </c>
    </row>
    <row r="1220" spans="2:3" x14ac:dyDescent="0.25">
      <c r="B1220" t="s">
        <v>1316</v>
      </c>
      <c r="C1220">
        <v>200</v>
      </c>
    </row>
    <row r="1221" spans="2:3" x14ac:dyDescent="0.25">
      <c r="B1221" t="s">
        <v>1317</v>
      </c>
      <c r="C1221">
        <v>400</v>
      </c>
    </row>
    <row r="1222" spans="2:3" x14ac:dyDescent="0.25">
      <c r="B1222" t="s">
        <v>1318</v>
      </c>
      <c r="C1222">
        <v>400</v>
      </c>
    </row>
    <row r="1223" spans="2:3" x14ac:dyDescent="0.25">
      <c r="B1223" t="s">
        <v>1319</v>
      </c>
      <c r="C1223">
        <v>400</v>
      </c>
    </row>
    <row r="1224" spans="2:3" x14ac:dyDescent="0.25">
      <c r="B1224" t="s">
        <v>1320</v>
      </c>
      <c r="C1224">
        <v>200</v>
      </c>
    </row>
    <row r="1225" spans="2:3" x14ac:dyDescent="0.25">
      <c r="B1225" t="s">
        <v>1321</v>
      </c>
      <c r="C1225">
        <v>200</v>
      </c>
    </row>
    <row r="1226" spans="2:3" x14ac:dyDescent="0.25">
      <c r="B1226" t="s">
        <v>1322</v>
      </c>
      <c r="C1226">
        <v>800</v>
      </c>
    </row>
    <row r="1227" spans="2:3" x14ac:dyDescent="0.25">
      <c r="B1227" t="s">
        <v>1323</v>
      </c>
      <c r="C1227">
        <v>340</v>
      </c>
    </row>
    <row r="1228" spans="2:3" x14ac:dyDescent="0.25">
      <c r="B1228" t="s">
        <v>1324</v>
      </c>
      <c r="C1228">
        <v>400</v>
      </c>
    </row>
    <row r="1229" spans="2:3" x14ac:dyDescent="0.25">
      <c r="B1229" t="s">
        <v>1325</v>
      </c>
      <c r="C1229">
        <v>170</v>
      </c>
    </row>
    <row r="1230" spans="2:3" x14ac:dyDescent="0.25">
      <c r="B1230" t="s">
        <v>1326</v>
      </c>
      <c r="C1230">
        <v>600</v>
      </c>
    </row>
    <row r="1231" spans="2:3" x14ac:dyDescent="0.25">
      <c r="B1231" t="s">
        <v>1327</v>
      </c>
      <c r="C1231">
        <v>800</v>
      </c>
    </row>
    <row r="1232" spans="2:3" x14ac:dyDescent="0.25">
      <c r="B1232" t="s">
        <v>1328</v>
      </c>
      <c r="C1232">
        <v>340</v>
      </c>
    </row>
    <row r="1233" spans="2:3" x14ac:dyDescent="0.25">
      <c r="B1233" t="s">
        <v>1329</v>
      </c>
      <c r="C1233">
        <v>400</v>
      </c>
    </row>
    <row r="1234" spans="2:3" x14ac:dyDescent="0.25">
      <c r="B1234" t="s">
        <v>1330</v>
      </c>
      <c r="C1234">
        <v>170</v>
      </c>
    </row>
    <row r="1235" spans="2:3" x14ac:dyDescent="0.25">
      <c r="B1235" t="s">
        <v>1331</v>
      </c>
      <c r="C1235">
        <v>100</v>
      </c>
    </row>
    <row r="1236" spans="2:3" x14ac:dyDescent="0.25">
      <c r="B1236" t="s">
        <v>1332</v>
      </c>
      <c r="C1236">
        <v>300</v>
      </c>
    </row>
    <row r="1237" spans="2:3" x14ac:dyDescent="0.25">
      <c r="B1237" t="s">
        <v>1333</v>
      </c>
      <c r="C1237">
        <v>600</v>
      </c>
    </row>
    <row r="1238" spans="2:3" x14ac:dyDescent="0.25">
      <c r="B1238" t="s">
        <v>1334</v>
      </c>
      <c r="C1238">
        <v>200</v>
      </c>
    </row>
    <row r="1239" spans="2:3" x14ac:dyDescent="0.25">
      <c r="B1239" t="s">
        <v>1335</v>
      </c>
      <c r="C1239">
        <v>600</v>
      </c>
    </row>
    <row r="1240" spans="2:3" x14ac:dyDescent="0.25">
      <c r="B1240" t="s">
        <v>1336</v>
      </c>
      <c r="C1240">
        <v>150</v>
      </c>
    </row>
    <row r="1241" spans="2:3" x14ac:dyDescent="0.25">
      <c r="B1241" t="s">
        <v>1337</v>
      </c>
      <c r="C1241">
        <v>450</v>
      </c>
    </row>
    <row r="1242" spans="2:3" x14ac:dyDescent="0.25">
      <c r="B1242" t="s">
        <v>1338</v>
      </c>
      <c r="C1242">
        <v>200</v>
      </c>
    </row>
    <row r="1243" spans="2:3" x14ac:dyDescent="0.25">
      <c r="B1243" t="s">
        <v>1339</v>
      </c>
      <c r="C1243">
        <v>150</v>
      </c>
    </row>
    <row r="1244" spans="2:3" x14ac:dyDescent="0.25">
      <c r="B1244" t="s">
        <v>1340</v>
      </c>
      <c r="C1244">
        <v>450</v>
      </c>
    </row>
    <row r="1245" spans="2:3" x14ac:dyDescent="0.25">
      <c r="B1245" t="s">
        <v>1341</v>
      </c>
      <c r="C1245">
        <v>300</v>
      </c>
    </row>
    <row r="1246" spans="2:3" x14ac:dyDescent="0.25">
      <c r="B1246" t="s">
        <v>1342</v>
      </c>
      <c r="C1246">
        <v>600</v>
      </c>
    </row>
    <row r="1247" spans="2:3" x14ac:dyDescent="0.25">
      <c r="B1247" t="s">
        <v>1343</v>
      </c>
      <c r="C1247">
        <v>470</v>
      </c>
    </row>
    <row r="1248" spans="2:3" x14ac:dyDescent="0.25">
      <c r="B1248" t="s">
        <v>1344</v>
      </c>
      <c r="C1248">
        <v>1800</v>
      </c>
    </row>
    <row r="1249" spans="2:3" x14ac:dyDescent="0.25">
      <c r="B1249" t="s">
        <v>1345</v>
      </c>
      <c r="C1249">
        <v>1200</v>
      </c>
    </row>
    <row r="1250" spans="2:3" x14ac:dyDescent="0.25">
      <c r="B1250" t="s">
        <v>1346</v>
      </c>
      <c r="C1250">
        <v>940</v>
      </c>
    </row>
    <row r="1251" spans="2:3" x14ac:dyDescent="0.25">
      <c r="B1251" t="s">
        <v>1347</v>
      </c>
      <c r="C1251">
        <v>900</v>
      </c>
    </row>
    <row r="1252" spans="2:3" x14ac:dyDescent="0.25">
      <c r="B1252" t="s">
        <v>1348</v>
      </c>
      <c r="C1252">
        <v>705</v>
      </c>
    </row>
    <row r="1253" spans="2:3" x14ac:dyDescent="0.25">
      <c r="B1253" t="s">
        <v>1349</v>
      </c>
      <c r="C1253">
        <v>600</v>
      </c>
    </row>
    <row r="1254" spans="2:3" x14ac:dyDescent="0.25">
      <c r="B1254" t="s">
        <v>1350</v>
      </c>
      <c r="C1254">
        <v>900</v>
      </c>
    </row>
    <row r="1255" spans="2:3" x14ac:dyDescent="0.25">
      <c r="B1255" t="s">
        <v>1351</v>
      </c>
      <c r="C1255">
        <v>705</v>
      </c>
    </row>
    <row r="1256" spans="2:3" x14ac:dyDescent="0.25">
      <c r="B1256" t="s">
        <v>1352</v>
      </c>
      <c r="C1256">
        <v>500</v>
      </c>
    </row>
    <row r="1257" spans="2:3" x14ac:dyDescent="0.25">
      <c r="B1257" t="s">
        <v>1353</v>
      </c>
      <c r="C1257">
        <v>500</v>
      </c>
    </row>
    <row r="1258" spans="2:3" x14ac:dyDescent="0.25">
      <c r="B1258" t="s">
        <v>1354</v>
      </c>
      <c r="C1258">
        <v>900</v>
      </c>
    </row>
    <row r="1259" spans="2:3" x14ac:dyDescent="0.25">
      <c r="B1259" t="s">
        <v>1355</v>
      </c>
      <c r="C1259">
        <v>1000</v>
      </c>
    </row>
    <row r="1260" spans="2:3" x14ac:dyDescent="0.25">
      <c r="B1260" t="s">
        <v>1356</v>
      </c>
      <c r="C1260">
        <v>1000</v>
      </c>
    </row>
    <row r="1261" spans="2:3" x14ac:dyDescent="0.25">
      <c r="B1261" t="s">
        <v>1357</v>
      </c>
      <c r="C1261">
        <v>750</v>
      </c>
    </row>
    <row r="1262" spans="2:3" x14ac:dyDescent="0.25">
      <c r="B1262" t="s">
        <v>1358</v>
      </c>
      <c r="C1262">
        <v>750</v>
      </c>
    </row>
    <row r="1263" spans="2:3" x14ac:dyDescent="0.25">
      <c r="B1263" t="s">
        <v>1359</v>
      </c>
      <c r="C1263">
        <v>300</v>
      </c>
    </row>
    <row r="1264" spans="2:3" x14ac:dyDescent="0.25">
      <c r="B1264" t="s">
        <v>1360</v>
      </c>
      <c r="C1264">
        <v>750</v>
      </c>
    </row>
    <row r="1265" spans="2:3" x14ac:dyDescent="0.25">
      <c r="B1265" t="s">
        <v>1361</v>
      </c>
      <c r="C1265">
        <v>750</v>
      </c>
    </row>
    <row r="1266" spans="2:3" x14ac:dyDescent="0.25">
      <c r="B1266" t="s">
        <v>1362</v>
      </c>
      <c r="C1266">
        <v>200</v>
      </c>
    </row>
    <row r="1267" spans="2:3" x14ac:dyDescent="0.25">
      <c r="B1267" t="s">
        <v>1363</v>
      </c>
      <c r="C1267">
        <v>340</v>
      </c>
    </row>
    <row r="1268" spans="2:3" x14ac:dyDescent="0.25">
      <c r="B1268" t="s">
        <v>1364</v>
      </c>
      <c r="C1268">
        <v>600</v>
      </c>
    </row>
    <row r="1269" spans="2:3" x14ac:dyDescent="0.25">
      <c r="B1269" t="s">
        <v>1365</v>
      </c>
      <c r="C1269">
        <v>300</v>
      </c>
    </row>
    <row r="1270" spans="2:3" x14ac:dyDescent="0.25">
      <c r="B1270" t="s">
        <v>1366</v>
      </c>
      <c r="C1270">
        <v>1500</v>
      </c>
    </row>
    <row r="1271" spans="2:3" x14ac:dyDescent="0.25">
      <c r="B1271" t="s">
        <v>1367</v>
      </c>
      <c r="C1271">
        <v>1500</v>
      </c>
    </row>
    <row r="1272" spans="2:3" x14ac:dyDescent="0.25">
      <c r="B1272" t="s">
        <v>1368</v>
      </c>
      <c r="C1272">
        <v>600</v>
      </c>
    </row>
    <row r="1273" spans="2:3" x14ac:dyDescent="0.25">
      <c r="B1273" t="s">
        <v>1369</v>
      </c>
      <c r="C1273">
        <v>450</v>
      </c>
    </row>
    <row r="1274" spans="2:3" x14ac:dyDescent="0.25">
      <c r="B1274" t="s">
        <v>1370</v>
      </c>
      <c r="C1274">
        <v>500</v>
      </c>
    </row>
    <row r="1275" spans="2:3" x14ac:dyDescent="0.25">
      <c r="B1275" t="s">
        <v>1371</v>
      </c>
      <c r="C1275">
        <v>500</v>
      </c>
    </row>
    <row r="1276" spans="2:3" x14ac:dyDescent="0.25">
      <c r="B1276" t="s">
        <v>1372</v>
      </c>
      <c r="C1276">
        <v>450</v>
      </c>
    </row>
    <row r="1277" spans="2:3" x14ac:dyDescent="0.25">
      <c r="B1277" t="s">
        <v>1373</v>
      </c>
      <c r="C1277">
        <v>500</v>
      </c>
    </row>
    <row r="1278" spans="2:3" x14ac:dyDescent="0.25">
      <c r="B1278" t="s">
        <v>1374</v>
      </c>
      <c r="C1278">
        <v>1020</v>
      </c>
    </row>
    <row r="1279" spans="2:3" x14ac:dyDescent="0.25">
      <c r="B1279" t="s">
        <v>1375</v>
      </c>
      <c r="C1279">
        <v>600</v>
      </c>
    </row>
    <row r="1280" spans="2:3" x14ac:dyDescent="0.25">
      <c r="B1280" t="s">
        <v>1376</v>
      </c>
      <c r="C1280">
        <v>1000</v>
      </c>
    </row>
    <row r="1281" spans="2:3" x14ac:dyDescent="0.25">
      <c r="B1281" t="s">
        <v>1377</v>
      </c>
      <c r="C1281">
        <v>450</v>
      </c>
    </row>
    <row r="1282" spans="2:3" x14ac:dyDescent="0.25">
      <c r="B1282" t="s">
        <v>1378</v>
      </c>
      <c r="C1282">
        <v>750</v>
      </c>
    </row>
    <row r="1283" spans="2:3" x14ac:dyDescent="0.25">
      <c r="B1283" t="s">
        <v>1379</v>
      </c>
      <c r="C1283">
        <v>340</v>
      </c>
    </row>
    <row r="1284" spans="2:3" x14ac:dyDescent="0.25">
      <c r="B1284" t="s">
        <v>1380</v>
      </c>
      <c r="C1284">
        <v>450</v>
      </c>
    </row>
    <row r="1285" spans="2:3" x14ac:dyDescent="0.25">
      <c r="B1285" t="s">
        <v>1381</v>
      </c>
      <c r="C1285">
        <v>750</v>
      </c>
    </row>
    <row r="1286" spans="2:3" x14ac:dyDescent="0.25">
      <c r="B1286" t="s">
        <v>1382</v>
      </c>
      <c r="C1286">
        <v>300</v>
      </c>
    </row>
    <row r="1287" spans="2:3" x14ac:dyDescent="0.25">
      <c r="B1287" t="s">
        <v>1383</v>
      </c>
      <c r="C1287">
        <v>900</v>
      </c>
    </row>
    <row r="1288" spans="2:3" x14ac:dyDescent="0.25">
      <c r="B1288" t="s">
        <v>1384</v>
      </c>
      <c r="C1288">
        <v>400</v>
      </c>
    </row>
    <row r="1289" spans="2:3" x14ac:dyDescent="0.25">
      <c r="B1289" t="s">
        <v>1385</v>
      </c>
      <c r="C1289">
        <v>300</v>
      </c>
    </row>
    <row r="1290" spans="2:3" x14ac:dyDescent="0.25">
      <c r="B1290" t="s">
        <v>1386</v>
      </c>
      <c r="C1290">
        <v>100</v>
      </c>
    </row>
    <row r="1291" spans="2:3" x14ac:dyDescent="0.25">
      <c r="B1291" t="s">
        <v>1387</v>
      </c>
      <c r="C1291">
        <v>300</v>
      </c>
    </row>
    <row r="1292" spans="2:3" x14ac:dyDescent="0.25">
      <c r="B1292" t="s">
        <v>1388</v>
      </c>
      <c r="C1292">
        <v>300</v>
      </c>
    </row>
    <row r="1293" spans="2:3" x14ac:dyDescent="0.25">
      <c r="B1293" t="s">
        <v>1389</v>
      </c>
      <c r="C1293">
        <v>900</v>
      </c>
    </row>
    <row r="1294" spans="2:3" x14ac:dyDescent="0.25">
      <c r="B1294" t="s">
        <v>1390</v>
      </c>
      <c r="C1294">
        <v>1500</v>
      </c>
    </row>
    <row r="1295" spans="2:3" x14ac:dyDescent="0.25">
      <c r="B1295" t="s">
        <v>1391</v>
      </c>
      <c r="C1295">
        <v>680</v>
      </c>
    </row>
    <row r="1296" spans="2:3" x14ac:dyDescent="0.25">
      <c r="B1296" t="s">
        <v>1392</v>
      </c>
      <c r="C1296">
        <v>510</v>
      </c>
    </row>
    <row r="1297" spans="2:3" x14ac:dyDescent="0.25">
      <c r="B1297" t="s">
        <v>1393</v>
      </c>
      <c r="C1297">
        <v>300</v>
      </c>
    </row>
    <row r="1298" spans="2:3" x14ac:dyDescent="0.25">
      <c r="B1298" t="s">
        <v>1394</v>
      </c>
      <c r="C1298">
        <v>500</v>
      </c>
    </row>
    <row r="1299" spans="2:3" x14ac:dyDescent="0.25">
      <c r="B1299" t="s">
        <v>1395</v>
      </c>
      <c r="C1299">
        <v>510</v>
      </c>
    </row>
    <row r="1300" spans="2:3" x14ac:dyDescent="0.25">
      <c r="B1300" t="s">
        <v>1396</v>
      </c>
      <c r="C1300">
        <v>1800</v>
      </c>
    </row>
    <row r="1301" spans="2:3" x14ac:dyDescent="0.25">
      <c r="B1301" t="s">
        <v>1397</v>
      </c>
      <c r="C1301">
        <v>1410</v>
      </c>
    </row>
    <row r="1302" spans="2:3" x14ac:dyDescent="0.25">
      <c r="B1302" t="s">
        <v>1398</v>
      </c>
      <c r="C1302">
        <v>1200</v>
      </c>
    </row>
    <row r="1303" spans="2:3" x14ac:dyDescent="0.25">
      <c r="B1303" t="s">
        <v>1399</v>
      </c>
      <c r="C1303">
        <v>900</v>
      </c>
    </row>
    <row r="1304" spans="2:3" x14ac:dyDescent="0.25">
      <c r="B1304" t="s">
        <v>1400</v>
      </c>
      <c r="C1304">
        <v>600</v>
      </c>
    </row>
    <row r="1305" spans="2:3" x14ac:dyDescent="0.25">
      <c r="B1305" t="s">
        <v>1401</v>
      </c>
      <c r="C1305">
        <v>470</v>
      </c>
    </row>
    <row r="1306" spans="2:3" x14ac:dyDescent="0.25">
      <c r="B1306" t="s">
        <v>1402</v>
      </c>
      <c r="C1306">
        <v>900</v>
      </c>
    </row>
    <row r="1307" spans="2:3" x14ac:dyDescent="0.25">
      <c r="B1307" t="s">
        <v>1403</v>
      </c>
      <c r="C1307">
        <v>300</v>
      </c>
    </row>
    <row r="1308" spans="2:3" x14ac:dyDescent="0.25">
      <c r="B1308" t="s">
        <v>1404</v>
      </c>
      <c r="C1308">
        <v>250</v>
      </c>
    </row>
    <row r="1309" spans="2:3" x14ac:dyDescent="0.25">
      <c r="B1309" t="s">
        <v>1405</v>
      </c>
      <c r="C1309">
        <v>1400</v>
      </c>
    </row>
    <row r="1310" spans="2:3" x14ac:dyDescent="0.25">
      <c r="B1310" t="s">
        <v>1406</v>
      </c>
      <c r="C1310">
        <v>300</v>
      </c>
    </row>
    <row r="1311" spans="2:3" x14ac:dyDescent="0.25">
      <c r="B1311" t="s">
        <v>1407</v>
      </c>
      <c r="C1311">
        <v>250</v>
      </c>
    </row>
    <row r="1312" spans="2:3" x14ac:dyDescent="0.25">
      <c r="B1312" t="s">
        <v>1408</v>
      </c>
      <c r="C1312">
        <v>700</v>
      </c>
    </row>
    <row r="1313" spans="2:3" x14ac:dyDescent="0.25">
      <c r="B1313" t="s">
        <v>1409</v>
      </c>
      <c r="C1313">
        <v>300</v>
      </c>
    </row>
    <row r="1314" spans="2:3" x14ac:dyDescent="0.25">
      <c r="B1314" t="s">
        <v>1410</v>
      </c>
      <c r="C1314">
        <v>250</v>
      </c>
    </row>
    <row r="1315" spans="2:3" x14ac:dyDescent="0.25">
      <c r="B1315" t="s">
        <v>1411</v>
      </c>
      <c r="C1315">
        <v>1400</v>
      </c>
    </row>
    <row r="1316" spans="2:3" x14ac:dyDescent="0.25">
      <c r="B1316" t="s">
        <v>1412</v>
      </c>
      <c r="C1316">
        <v>300</v>
      </c>
    </row>
    <row r="1317" spans="2:3" x14ac:dyDescent="0.25">
      <c r="B1317" t="s">
        <v>1413</v>
      </c>
      <c r="C1317">
        <v>250</v>
      </c>
    </row>
    <row r="1318" spans="2:3" x14ac:dyDescent="0.25">
      <c r="B1318" t="s">
        <v>1414</v>
      </c>
      <c r="C1318">
        <v>700</v>
      </c>
    </row>
    <row r="1319" spans="2:3" x14ac:dyDescent="0.25">
      <c r="B1319" t="s">
        <v>1415</v>
      </c>
      <c r="C1319">
        <v>210</v>
      </c>
    </row>
    <row r="1320" spans="2:3" x14ac:dyDescent="0.25">
      <c r="B1320" t="s">
        <v>1416</v>
      </c>
      <c r="C1320">
        <v>300</v>
      </c>
    </row>
    <row r="1321" spans="2:3" x14ac:dyDescent="0.25">
      <c r="B1321" t="s">
        <v>1417</v>
      </c>
      <c r="C1321">
        <v>300</v>
      </c>
    </row>
    <row r="1322" spans="2:3" x14ac:dyDescent="0.25">
      <c r="B1322" t="s">
        <v>1418</v>
      </c>
      <c r="C1322">
        <v>260</v>
      </c>
    </row>
    <row r="1323" spans="2:3" x14ac:dyDescent="0.25">
      <c r="B1323" t="s">
        <v>1419</v>
      </c>
      <c r="C1323">
        <v>300</v>
      </c>
    </row>
    <row r="1324" spans="2:3" x14ac:dyDescent="0.25">
      <c r="B1324" t="s">
        <v>1420</v>
      </c>
      <c r="C1324">
        <v>300</v>
      </c>
    </row>
    <row r="1325" spans="2:3" x14ac:dyDescent="0.25">
      <c r="B1325" t="s">
        <v>1421</v>
      </c>
      <c r="C1325">
        <v>130</v>
      </c>
    </row>
    <row r="1326" spans="2:3" x14ac:dyDescent="0.25">
      <c r="B1326" t="s">
        <v>1422</v>
      </c>
      <c r="C1326">
        <v>300</v>
      </c>
    </row>
    <row r="1327" spans="2:3" x14ac:dyDescent="0.25">
      <c r="B1327" t="s">
        <v>1423</v>
      </c>
      <c r="C1327">
        <v>300</v>
      </c>
    </row>
    <row r="1328" spans="2:3" x14ac:dyDescent="0.25">
      <c r="B1328" t="s">
        <v>1424</v>
      </c>
      <c r="C1328">
        <v>260</v>
      </c>
    </row>
    <row r="1329" spans="2:3" x14ac:dyDescent="0.25">
      <c r="B1329" t="s">
        <v>1425</v>
      </c>
      <c r="C1329">
        <v>300</v>
      </c>
    </row>
    <row r="1330" spans="2:3" x14ac:dyDescent="0.25">
      <c r="B1330" t="s">
        <v>1426</v>
      </c>
      <c r="C1330">
        <v>300</v>
      </c>
    </row>
    <row r="1331" spans="2:3" x14ac:dyDescent="0.25">
      <c r="B1331" t="s">
        <v>1427</v>
      </c>
      <c r="C1331">
        <v>130</v>
      </c>
    </row>
    <row r="1332" spans="2:3" x14ac:dyDescent="0.25">
      <c r="B1332" t="s">
        <v>1428</v>
      </c>
      <c r="C1332">
        <v>370</v>
      </c>
    </row>
    <row r="1333" spans="2:3" x14ac:dyDescent="0.25">
      <c r="B1333" t="s">
        <v>1429</v>
      </c>
      <c r="C1333">
        <v>100</v>
      </c>
    </row>
    <row r="1334" spans="2:3" x14ac:dyDescent="0.25">
      <c r="B1334" t="s">
        <v>1430</v>
      </c>
      <c r="C1334">
        <v>800</v>
      </c>
    </row>
    <row r="1335" spans="2:3" x14ac:dyDescent="0.25">
      <c r="B1335" t="s">
        <v>1431</v>
      </c>
      <c r="C1335">
        <v>370</v>
      </c>
    </row>
    <row r="1336" spans="2:3" x14ac:dyDescent="0.25">
      <c r="B1336" t="s">
        <v>1432</v>
      </c>
      <c r="C1336">
        <v>100</v>
      </c>
    </row>
    <row r="1337" spans="2:3" x14ac:dyDescent="0.25">
      <c r="B1337" t="s">
        <v>1433</v>
      </c>
      <c r="C1337">
        <v>400</v>
      </c>
    </row>
    <row r="1338" spans="2:3" x14ac:dyDescent="0.25">
      <c r="B1338" t="s">
        <v>1434</v>
      </c>
      <c r="C1338">
        <v>370</v>
      </c>
    </row>
    <row r="1339" spans="2:3" x14ac:dyDescent="0.25">
      <c r="B1339" t="s">
        <v>1435</v>
      </c>
      <c r="C1339">
        <v>100</v>
      </c>
    </row>
    <row r="1340" spans="2:3" x14ac:dyDescent="0.25">
      <c r="B1340" t="s">
        <v>1436</v>
      </c>
      <c r="C1340">
        <v>800</v>
      </c>
    </row>
    <row r="1341" spans="2:3" x14ac:dyDescent="0.25">
      <c r="B1341" t="s">
        <v>1437</v>
      </c>
      <c r="C1341">
        <v>370</v>
      </c>
    </row>
    <row r="1342" spans="2:3" x14ac:dyDescent="0.25">
      <c r="B1342" t="s">
        <v>1438</v>
      </c>
      <c r="C1342">
        <v>100</v>
      </c>
    </row>
    <row r="1343" spans="2:3" x14ac:dyDescent="0.25">
      <c r="B1343" t="s">
        <v>1439</v>
      </c>
      <c r="C1343">
        <v>400</v>
      </c>
    </row>
    <row r="1344" spans="2:3" x14ac:dyDescent="0.25">
      <c r="B1344" t="s">
        <v>1440</v>
      </c>
      <c r="C1344">
        <v>700</v>
      </c>
    </row>
    <row r="1345" spans="2:3" x14ac:dyDescent="0.25">
      <c r="B1345" t="s">
        <v>1441</v>
      </c>
      <c r="C1345">
        <v>300</v>
      </c>
    </row>
    <row r="1346" spans="2:3" x14ac:dyDescent="0.25">
      <c r="B1346" t="s">
        <v>1442</v>
      </c>
      <c r="C1346">
        <v>420</v>
      </c>
    </row>
    <row r="1347" spans="2:3" x14ac:dyDescent="0.25">
      <c r="B1347" t="s">
        <v>1443</v>
      </c>
      <c r="C1347">
        <v>620</v>
      </c>
    </row>
    <row r="1348" spans="2:3" x14ac:dyDescent="0.25">
      <c r="B1348" t="s">
        <v>1444</v>
      </c>
      <c r="C1348">
        <v>300</v>
      </c>
    </row>
    <row r="1349" spans="2:3" x14ac:dyDescent="0.25">
      <c r="B1349" t="s">
        <v>1445</v>
      </c>
      <c r="C1349">
        <v>210</v>
      </c>
    </row>
    <row r="1350" spans="2:3" x14ac:dyDescent="0.25">
      <c r="B1350" t="s">
        <v>1446</v>
      </c>
      <c r="C1350">
        <v>310</v>
      </c>
    </row>
    <row r="1351" spans="2:3" x14ac:dyDescent="0.25">
      <c r="B1351" t="s">
        <v>1447</v>
      </c>
      <c r="C1351">
        <v>300</v>
      </c>
    </row>
    <row r="1352" spans="2:3" x14ac:dyDescent="0.25">
      <c r="B1352" t="s">
        <v>1448</v>
      </c>
      <c r="C1352">
        <v>420</v>
      </c>
    </row>
    <row r="1353" spans="2:3" x14ac:dyDescent="0.25">
      <c r="B1353" t="s">
        <v>1449</v>
      </c>
      <c r="C1353">
        <v>620</v>
      </c>
    </row>
    <row r="1354" spans="2:3" x14ac:dyDescent="0.25">
      <c r="B1354" t="s">
        <v>1450</v>
      </c>
      <c r="C1354">
        <v>300</v>
      </c>
    </row>
    <row r="1355" spans="2:3" x14ac:dyDescent="0.25">
      <c r="B1355" t="s">
        <v>1451</v>
      </c>
      <c r="C1355">
        <v>210</v>
      </c>
    </row>
    <row r="1356" spans="2:3" x14ac:dyDescent="0.25">
      <c r="B1356" t="s">
        <v>1452</v>
      </c>
      <c r="C1356">
        <v>310</v>
      </c>
    </row>
    <row r="1357" spans="2:3" x14ac:dyDescent="0.25">
      <c r="B1357" t="s">
        <v>1453</v>
      </c>
      <c r="C1357">
        <v>130</v>
      </c>
    </row>
    <row r="1358" spans="2:3" x14ac:dyDescent="0.25">
      <c r="B1358" t="s">
        <v>1454</v>
      </c>
      <c r="C1358">
        <v>400</v>
      </c>
    </row>
    <row r="1359" spans="2:3" x14ac:dyDescent="0.25">
      <c r="B1359" t="s">
        <v>1455</v>
      </c>
      <c r="C1359">
        <v>740</v>
      </c>
    </row>
    <row r="1360" spans="2:3" x14ac:dyDescent="0.25">
      <c r="B1360" t="s">
        <v>1456</v>
      </c>
      <c r="C1360">
        <v>200</v>
      </c>
    </row>
    <row r="1361" spans="2:3" x14ac:dyDescent="0.25">
      <c r="B1361" t="s">
        <v>1457</v>
      </c>
      <c r="C1361">
        <v>400</v>
      </c>
    </row>
    <row r="1362" spans="2:3" x14ac:dyDescent="0.25">
      <c r="B1362" t="s">
        <v>1458</v>
      </c>
      <c r="C1362">
        <v>370</v>
      </c>
    </row>
    <row r="1363" spans="2:3" x14ac:dyDescent="0.25">
      <c r="B1363" t="s">
        <v>1459</v>
      </c>
      <c r="C1363">
        <v>100</v>
      </c>
    </row>
    <row r="1364" spans="2:3" x14ac:dyDescent="0.25">
      <c r="B1364" t="s">
        <v>1460</v>
      </c>
      <c r="C1364">
        <v>400</v>
      </c>
    </row>
    <row r="1365" spans="2:3" x14ac:dyDescent="0.25">
      <c r="B1365" t="s">
        <v>1461</v>
      </c>
      <c r="C1365">
        <v>740</v>
      </c>
    </row>
    <row r="1366" spans="2:3" x14ac:dyDescent="0.25">
      <c r="B1366" t="s">
        <v>1462</v>
      </c>
      <c r="C1366">
        <v>200</v>
      </c>
    </row>
    <row r="1367" spans="2:3" x14ac:dyDescent="0.25">
      <c r="B1367" t="s">
        <v>1463</v>
      </c>
      <c r="C1367">
        <v>400</v>
      </c>
    </row>
    <row r="1368" spans="2:3" x14ac:dyDescent="0.25">
      <c r="B1368" t="s">
        <v>1464</v>
      </c>
      <c r="C1368">
        <v>370</v>
      </c>
    </row>
    <row r="1369" spans="2:3" x14ac:dyDescent="0.25">
      <c r="B1369" t="s">
        <v>1465</v>
      </c>
      <c r="C1369">
        <v>100</v>
      </c>
    </row>
    <row r="1370" spans="2:3" x14ac:dyDescent="0.25">
      <c r="B1370" t="s">
        <v>1466</v>
      </c>
      <c r="C1370">
        <v>310</v>
      </c>
    </row>
    <row r="1371" spans="2:3" x14ac:dyDescent="0.25">
      <c r="B1371" t="s">
        <v>1467</v>
      </c>
      <c r="C1371">
        <v>600</v>
      </c>
    </row>
    <row r="1372" spans="2:3" x14ac:dyDescent="0.25">
      <c r="B1372" t="s">
        <v>1468</v>
      </c>
      <c r="C1372">
        <v>210</v>
      </c>
    </row>
    <row r="1373" spans="2:3" x14ac:dyDescent="0.25">
      <c r="B1373" t="s">
        <v>1469</v>
      </c>
      <c r="C1373">
        <v>310</v>
      </c>
    </row>
    <row r="1374" spans="2:3" x14ac:dyDescent="0.25">
      <c r="B1374" t="s">
        <v>1470</v>
      </c>
      <c r="C1374">
        <v>300</v>
      </c>
    </row>
    <row r="1375" spans="2:3" x14ac:dyDescent="0.25">
      <c r="B1375" t="s">
        <v>1471</v>
      </c>
      <c r="C1375">
        <v>210</v>
      </c>
    </row>
    <row r="1376" spans="2:3" x14ac:dyDescent="0.25">
      <c r="B1376" t="s">
        <v>1472</v>
      </c>
      <c r="C1376">
        <v>310</v>
      </c>
    </row>
    <row r="1377" spans="2:3" x14ac:dyDescent="0.25">
      <c r="B1377" t="s">
        <v>1473</v>
      </c>
      <c r="C1377">
        <v>600</v>
      </c>
    </row>
    <row r="1378" spans="2:3" x14ac:dyDescent="0.25">
      <c r="B1378" t="s">
        <v>1474</v>
      </c>
      <c r="C1378">
        <v>210</v>
      </c>
    </row>
    <row r="1379" spans="2:3" x14ac:dyDescent="0.25">
      <c r="B1379" t="s">
        <v>1475</v>
      </c>
      <c r="C1379">
        <v>310</v>
      </c>
    </row>
    <row r="1380" spans="2:3" x14ac:dyDescent="0.25">
      <c r="B1380" t="s">
        <v>1476</v>
      </c>
      <c r="C1380">
        <v>300</v>
      </c>
    </row>
    <row r="1381" spans="2:3" x14ac:dyDescent="0.25">
      <c r="B1381" t="s">
        <v>1477</v>
      </c>
      <c r="C1381">
        <v>600</v>
      </c>
    </row>
    <row r="1382" spans="2:3" x14ac:dyDescent="0.25">
      <c r="B1382" t="s">
        <v>1478</v>
      </c>
      <c r="C1382">
        <v>500</v>
      </c>
    </row>
    <row r="1383" spans="2:3" x14ac:dyDescent="0.25">
      <c r="B1383" t="s">
        <v>1479</v>
      </c>
      <c r="C1383">
        <v>700</v>
      </c>
    </row>
    <row r="1384" spans="2:3" x14ac:dyDescent="0.25">
      <c r="B1384" t="s">
        <v>1480</v>
      </c>
      <c r="C1384">
        <v>300</v>
      </c>
    </row>
    <row r="1385" spans="2:3" x14ac:dyDescent="0.25">
      <c r="B1385" t="s">
        <v>1481</v>
      </c>
      <c r="C1385">
        <v>250</v>
      </c>
    </row>
    <row r="1386" spans="2:3" x14ac:dyDescent="0.25">
      <c r="B1386" t="s">
        <v>1482</v>
      </c>
      <c r="C1386">
        <v>700</v>
      </c>
    </row>
    <row r="1387" spans="2:3" x14ac:dyDescent="0.25">
      <c r="B1387" t="s">
        <v>1483</v>
      </c>
      <c r="C1387">
        <v>600</v>
      </c>
    </row>
    <row r="1388" spans="2:3" x14ac:dyDescent="0.25">
      <c r="B1388" t="s">
        <v>1484</v>
      </c>
      <c r="C1388">
        <v>500</v>
      </c>
    </row>
    <row r="1389" spans="2:3" x14ac:dyDescent="0.25">
      <c r="B1389" t="s">
        <v>1485</v>
      </c>
      <c r="C1389">
        <v>700</v>
      </c>
    </row>
    <row r="1390" spans="2:3" x14ac:dyDescent="0.25">
      <c r="B1390" t="s">
        <v>1486</v>
      </c>
      <c r="C1390">
        <v>300</v>
      </c>
    </row>
    <row r="1391" spans="2:3" x14ac:dyDescent="0.25">
      <c r="B1391" t="s">
        <v>1487</v>
      </c>
      <c r="C1391">
        <v>250</v>
      </c>
    </row>
    <row r="1392" spans="2:3" x14ac:dyDescent="0.25">
      <c r="B1392" t="s">
        <v>1488</v>
      </c>
      <c r="C1392">
        <v>600</v>
      </c>
    </row>
    <row r="1393" spans="2:3" x14ac:dyDescent="0.25">
      <c r="B1393" t="s">
        <v>1489</v>
      </c>
      <c r="C1393">
        <v>600</v>
      </c>
    </row>
    <row r="1394" spans="2:3" x14ac:dyDescent="0.25">
      <c r="B1394" t="s">
        <v>1490</v>
      </c>
      <c r="C1394">
        <v>130</v>
      </c>
    </row>
    <row r="1395" spans="2:3" x14ac:dyDescent="0.25">
      <c r="B1395" t="s">
        <v>1491</v>
      </c>
      <c r="C1395">
        <v>300</v>
      </c>
    </row>
    <row r="1396" spans="2:3" x14ac:dyDescent="0.25">
      <c r="B1396" t="s">
        <v>1492</v>
      </c>
      <c r="C1396">
        <v>300</v>
      </c>
    </row>
    <row r="1397" spans="2:3" x14ac:dyDescent="0.25">
      <c r="B1397" t="s">
        <v>1493</v>
      </c>
      <c r="C1397">
        <v>130</v>
      </c>
    </row>
    <row r="1398" spans="2:3" x14ac:dyDescent="0.25">
      <c r="B1398" t="s">
        <v>1494</v>
      </c>
      <c r="C1398">
        <v>600</v>
      </c>
    </row>
    <row r="1399" spans="2:3" x14ac:dyDescent="0.25">
      <c r="B1399" t="s">
        <v>1495</v>
      </c>
      <c r="C1399">
        <v>600</v>
      </c>
    </row>
    <row r="1400" spans="2:3" x14ac:dyDescent="0.25">
      <c r="B1400" t="s">
        <v>1496</v>
      </c>
      <c r="C1400">
        <v>130</v>
      </c>
    </row>
    <row r="1401" spans="2:3" x14ac:dyDescent="0.25">
      <c r="B1401" t="s">
        <v>1497</v>
      </c>
      <c r="C1401">
        <v>300</v>
      </c>
    </row>
    <row r="1402" spans="2:3" x14ac:dyDescent="0.25">
      <c r="B1402" t="s">
        <v>1498</v>
      </c>
      <c r="C1402">
        <v>300</v>
      </c>
    </row>
    <row r="1403" spans="2:3" x14ac:dyDescent="0.25">
      <c r="B1403" t="s">
        <v>1499</v>
      </c>
      <c r="C1403">
        <v>22928686.968930099</v>
      </c>
    </row>
  </sheetData>
  <autoFilter ref="J1:N102" xr:uid="{00000000-0009-0000-0000-000004000000}"/>
  <mergeCells count="9">
    <mergeCell ref="AK2:AO2"/>
    <mergeCell ref="AQ2:AV2"/>
    <mergeCell ref="AK14:AO14"/>
    <mergeCell ref="AQ14:AV14"/>
    <mergeCell ref="E889:G889"/>
    <mergeCell ref="P2:T2"/>
    <mergeCell ref="P10:T10"/>
    <mergeCell ref="V2:AA2"/>
    <mergeCell ref="V10:A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I7"/>
  <sheetViews>
    <sheetView workbookViewId="0">
      <selection sqref="A1:XFD1048576"/>
    </sheetView>
  </sheetViews>
  <sheetFormatPr baseColWidth="10" defaultRowHeight="15" x14ac:dyDescent="0.25"/>
  <sheetData>
    <row r="1" spans="1:9" x14ac:dyDescent="0.25">
      <c r="B1">
        <v>0</v>
      </c>
    </row>
    <row r="2" spans="1:9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</row>
    <row r="4" spans="1:9" x14ac:dyDescent="0.25">
      <c r="A4">
        <v>1</v>
      </c>
      <c r="B4">
        <v>10020</v>
      </c>
      <c r="C4">
        <v>700</v>
      </c>
      <c r="D4">
        <v>9219.0500000000029</v>
      </c>
      <c r="E4">
        <v>0</v>
      </c>
      <c r="F4">
        <v>1400</v>
      </c>
      <c r="G4">
        <v>700</v>
      </c>
      <c r="H4">
        <v>0</v>
      </c>
      <c r="I4">
        <v>5010</v>
      </c>
    </row>
    <row r="5" spans="1:9" x14ac:dyDescent="0.25">
      <c r="A5">
        <v>2</v>
      </c>
      <c r="B5">
        <v>7120</v>
      </c>
      <c r="C5">
        <v>400</v>
      </c>
      <c r="D5">
        <v>0</v>
      </c>
      <c r="E5">
        <v>3560</v>
      </c>
      <c r="F5">
        <v>400</v>
      </c>
      <c r="G5">
        <v>7120</v>
      </c>
      <c r="H5">
        <v>0</v>
      </c>
      <c r="I5">
        <v>3560</v>
      </c>
    </row>
    <row r="6" spans="1:9" x14ac:dyDescent="0.25">
      <c r="A6">
        <v>3</v>
      </c>
      <c r="B6">
        <v>4710</v>
      </c>
      <c r="C6">
        <v>300</v>
      </c>
      <c r="D6">
        <v>9420</v>
      </c>
      <c r="E6">
        <v>0</v>
      </c>
      <c r="F6">
        <v>150</v>
      </c>
      <c r="G6">
        <v>100</v>
      </c>
      <c r="H6">
        <v>150</v>
      </c>
      <c r="I6">
        <v>0</v>
      </c>
    </row>
    <row r="7" spans="1:9" x14ac:dyDescent="0.25">
      <c r="A7">
        <v>4</v>
      </c>
      <c r="B7">
        <v>3670</v>
      </c>
      <c r="C7">
        <v>600</v>
      </c>
      <c r="D7">
        <v>3670</v>
      </c>
      <c r="E7">
        <v>3670</v>
      </c>
      <c r="F7">
        <v>300</v>
      </c>
      <c r="G7">
        <v>7340</v>
      </c>
      <c r="H7">
        <v>300</v>
      </c>
      <c r="I7">
        <v>3670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7"/>
  <sheetViews>
    <sheetView workbookViewId="0">
      <selection sqref="A1:XFD1048576"/>
    </sheetView>
  </sheetViews>
  <sheetFormatPr baseColWidth="10" defaultRowHeight="15" x14ac:dyDescent="0.25"/>
  <sheetData>
    <row r="1" spans="1:9" x14ac:dyDescent="0.25">
      <c r="B1">
        <v>0</v>
      </c>
    </row>
    <row r="2" spans="1:9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</row>
    <row r="4" spans="1:9" x14ac:dyDescent="0.25">
      <c r="A4">
        <v>1</v>
      </c>
      <c r="B4">
        <v>0</v>
      </c>
      <c r="C4">
        <v>4310</v>
      </c>
      <c r="D4">
        <v>800.94999999999709</v>
      </c>
      <c r="E4">
        <v>0</v>
      </c>
      <c r="F4">
        <v>8620</v>
      </c>
      <c r="G4">
        <v>4310</v>
      </c>
      <c r="H4">
        <v>5010</v>
      </c>
      <c r="I4">
        <v>0</v>
      </c>
    </row>
    <row r="5" spans="1:9" x14ac:dyDescent="0.25">
      <c r="A5">
        <v>2</v>
      </c>
      <c r="B5">
        <v>0</v>
      </c>
      <c r="C5">
        <v>6720</v>
      </c>
      <c r="D5">
        <v>0</v>
      </c>
      <c r="E5">
        <v>0</v>
      </c>
      <c r="F5">
        <v>6720</v>
      </c>
      <c r="G5">
        <v>0</v>
      </c>
      <c r="H5">
        <v>0</v>
      </c>
      <c r="I5">
        <v>0</v>
      </c>
    </row>
    <row r="6" spans="1:9" x14ac:dyDescent="0.25">
      <c r="A6">
        <v>3</v>
      </c>
      <c r="B6">
        <v>0</v>
      </c>
      <c r="C6">
        <v>13830</v>
      </c>
      <c r="D6">
        <v>0</v>
      </c>
      <c r="E6">
        <v>0</v>
      </c>
      <c r="F6">
        <v>6915</v>
      </c>
      <c r="G6">
        <v>4610</v>
      </c>
      <c r="H6">
        <v>6915</v>
      </c>
      <c r="I6">
        <v>0</v>
      </c>
    </row>
    <row r="7" spans="1:9" x14ac:dyDescent="0.25">
      <c r="A7">
        <v>4</v>
      </c>
      <c r="B7">
        <v>0</v>
      </c>
      <c r="C7">
        <v>6740</v>
      </c>
      <c r="D7">
        <v>0</v>
      </c>
      <c r="E7">
        <v>0</v>
      </c>
      <c r="F7">
        <v>3370</v>
      </c>
      <c r="G7">
        <v>0</v>
      </c>
      <c r="H7">
        <v>3370</v>
      </c>
      <c r="I7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E7"/>
  <sheetViews>
    <sheetView workbookViewId="0">
      <selection sqref="A1:XFD1048576"/>
    </sheetView>
  </sheetViews>
  <sheetFormatPr baseColWidth="10" defaultRowHeight="15" x14ac:dyDescent="0.25"/>
  <sheetData>
    <row r="1" spans="1:5" x14ac:dyDescent="0.25">
      <c r="B1">
        <v>0</v>
      </c>
    </row>
    <row r="2" spans="1:5" x14ac:dyDescent="0.25">
      <c r="B2">
        <v>1</v>
      </c>
      <c r="C2">
        <v>2</v>
      </c>
      <c r="D2">
        <v>3</v>
      </c>
      <c r="E2">
        <v>4</v>
      </c>
    </row>
    <row r="4" spans="1:5" x14ac:dyDescent="0.25">
      <c r="A4">
        <v>1</v>
      </c>
      <c r="B4">
        <v>20550</v>
      </c>
      <c r="C4">
        <v>19960</v>
      </c>
      <c r="D4">
        <v>13830</v>
      </c>
      <c r="E4">
        <v>2000</v>
      </c>
    </row>
    <row r="5" spans="1:5" x14ac:dyDescent="0.25">
      <c r="A5">
        <v>2</v>
      </c>
      <c r="B5">
        <v>199.05000000000291</v>
      </c>
      <c r="C5">
        <v>0</v>
      </c>
      <c r="D5">
        <v>0</v>
      </c>
      <c r="E5">
        <v>17220</v>
      </c>
    </row>
    <row r="6" spans="1:5" x14ac:dyDescent="0.25">
      <c r="A6">
        <v>3</v>
      </c>
      <c r="B6">
        <v>0</v>
      </c>
      <c r="C6">
        <v>200</v>
      </c>
      <c r="D6">
        <v>0</v>
      </c>
      <c r="E6">
        <v>1000</v>
      </c>
    </row>
    <row r="7" spans="1:5" x14ac:dyDescent="0.25">
      <c r="A7">
        <v>4</v>
      </c>
      <c r="B7">
        <v>0</v>
      </c>
      <c r="C7">
        <v>0</v>
      </c>
      <c r="D7">
        <v>0</v>
      </c>
      <c r="E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E7"/>
  <sheetViews>
    <sheetView workbookViewId="0">
      <selection sqref="A1:XFD1048576"/>
    </sheetView>
  </sheetViews>
  <sheetFormatPr baseColWidth="10" defaultRowHeight="15" x14ac:dyDescent="0.25"/>
  <sheetData>
    <row r="1" spans="1:5" x14ac:dyDescent="0.25">
      <c r="B1">
        <v>0</v>
      </c>
    </row>
    <row r="2" spans="1:5" x14ac:dyDescent="0.25">
      <c r="B2">
        <v>1</v>
      </c>
      <c r="C2">
        <v>2</v>
      </c>
      <c r="D2">
        <v>3</v>
      </c>
      <c r="E2">
        <v>4</v>
      </c>
    </row>
    <row r="4" spans="1:5" x14ac:dyDescent="0.25">
      <c r="A4">
        <v>1</v>
      </c>
      <c r="B4">
        <v>15650</v>
      </c>
      <c r="C4">
        <v>10640</v>
      </c>
      <c r="D4">
        <v>32270</v>
      </c>
      <c r="E4">
        <v>0</v>
      </c>
    </row>
    <row r="5" spans="1:5" x14ac:dyDescent="0.25">
      <c r="A5">
        <v>2</v>
      </c>
      <c r="B5">
        <v>2800.9499999999971</v>
      </c>
      <c r="C5">
        <v>2000</v>
      </c>
      <c r="D5">
        <v>0</v>
      </c>
      <c r="E5">
        <v>13480</v>
      </c>
    </row>
    <row r="6" spans="1:5" x14ac:dyDescent="0.25">
      <c r="A6">
        <v>3</v>
      </c>
      <c r="B6">
        <v>3900</v>
      </c>
      <c r="C6">
        <v>800</v>
      </c>
      <c r="D6">
        <v>0</v>
      </c>
      <c r="E6">
        <v>0</v>
      </c>
    </row>
    <row r="7" spans="1:5" x14ac:dyDescent="0.25">
      <c r="A7">
        <v>4</v>
      </c>
      <c r="B7">
        <v>0</v>
      </c>
      <c r="C7">
        <v>0</v>
      </c>
      <c r="D7">
        <v>0</v>
      </c>
      <c r="E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1:C7"/>
  <sheetViews>
    <sheetView workbookViewId="0">
      <selection sqref="A1:XFD1048576"/>
    </sheetView>
  </sheetViews>
  <sheetFormatPr baseColWidth="10" defaultRowHeight="15" x14ac:dyDescent="0.25"/>
  <sheetData>
    <row r="1" spans="1:3" x14ac:dyDescent="0.25">
      <c r="B1">
        <v>0</v>
      </c>
    </row>
    <row r="2" spans="1:3" x14ac:dyDescent="0.25">
      <c r="B2">
        <v>1</v>
      </c>
      <c r="C2">
        <v>2</v>
      </c>
    </row>
    <row r="4" spans="1:3" x14ac:dyDescent="0.25">
      <c r="A4">
        <v>1</v>
      </c>
      <c r="B4">
        <v>13700</v>
      </c>
      <c r="C4">
        <v>19300</v>
      </c>
    </row>
    <row r="5" spans="1:3" x14ac:dyDescent="0.25">
      <c r="A5">
        <v>2</v>
      </c>
      <c r="B5">
        <v>18000</v>
      </c>
      <c r="C5">
        <v>20000</v>
      </c>
    </row>
    <row r="6" spans="1:3" x14ac:dyDescent="0.25">
      <c r="A6">
        <v>3</v>
      </c>
      <c r="B6">
        <v>19000</v>
      </c>
      <c r="C6">
        <v>20000</v>
      </c>
    </row>
    <row r="7" spans="1:3" x14ac:dyDescent="0.25">
      <c r="A7">
        <v>4</v>
      </c>
      <c r="B7">
        <v>17000</v>
      </c>
      <c r="C7">
        <v>20000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B7"/>
  <sheetViews>
    <sheetView workbookViewId="0">
      <selection sqref="A1:XFD1048576"/>
    </sheetView>
  </sheetViews>
  <sheetFormatPr baseColWidth="10" defaultRowHeight="15" x14ac:dyDescent="0.25"/>
  <sheetData>
    <row r="1" spans="1:2" x14ac:dyDescent="0.25">
      <c r="B1">
        <v>0</v>
      </c>
    </row>
    <row r="2" spans="1:2" x14ac:dyDescent="0.25">
      <c r="B2">
        <v>1</v>
      </c>
    </row>
    <row r="4" spans="1:2" x14ac:dyDescent="0.25">
      <c r="A4">
        <v>1</v>
      </c>
      <c r="B4">
        <v>36386814.461364098</v>
      </c>
    </row>
    <row r="5" spans="1:2" x14ac:dyDescent="0.25">
      <c r="A5">
        <v>2</v>
      </c>
      <c r="B5">
        <v>639868.09499999997</v>
      </c>
    </row>
    <row r="6" spans="1:2" x14ac:dyDescent="0.25">
      <c r="A6">
        <v>3</v>
      </c>
      <c r="B6">
        <v>30010874.776344091</v>
      </c>
    </row>
    <row r="7" spans="1:2" x14ac:dyDescent="0.25">
      <c r="A7">
        <v>4</v>
      </c>
      <c r="B7">
        <v>5736071.5900200037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Parametros de entrada</vt:lpstr>
      <vt:lpstr>Respaldo parametros NI</vt:lpstr>
      <vt:lpstr>Tabla de resultados</vt:lpstr>
      <vt:lpstr>Demanda ajustada</vt:lpstr>
      <vt:lpstr>Resultados</vt:lpstr>
      <vt:lpstr>Resultados_s1</vt:lpstr>
      <vt:lpstr>Resultados_s2</vt:lpstr>
      <vt:lpstr>Resultados_r1</vt:lpstr>
      <vt:lpstr>Resultados_r2</vt:lpstr>
      <vt:lpstr>Resultados_y</vt:lpstr>
      <vt:lpstr>Resultados_k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araya jimenez</dc:creator>
  <cp:lastModifiedBy>rodrigo araya jimenez</cp:lastModifiedBy>
  <dcterms:created xsi:type="dcterms:W3CDTF">2015-06-05T18:19:34Z</dcterms:created>
  <dcterms:modified xsi:type="dcterms:W3CDTF">2020-11-29T21:51:10Z</dcterms:modified>
</cp:coreProperties>
</file>