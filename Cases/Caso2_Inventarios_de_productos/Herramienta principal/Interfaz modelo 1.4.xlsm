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drigo\Desktop\Estudios de casos aplicados\Caso 2\Avance 2\Informe final\Entregables-IFC2-G07\Herramienta principal\"/>
    </mc:Choice>
  </mc:AlternateContent>
  <xr:revisionPtr revIDLastSave="0" documentId="13_ncr:1_{150ADD7E-3EFA-486E-8527-960D4DA8FB33}" xr6:coauthVersionLast="45" xr6:coauthVersionMax="45" xr10:uidLastSave="{00000000-0000-0000-0000-000000000000}"/>
  <bookViews>
    <workbookView xWindow="-120" yWindow="-120" windowWidth="20730" windowHeight="11310" activeTab="1" xr2:uid="{00000000-000D-0000-FFFF-FFFF00000000}"/>
  </bookViews>
  <sheets>
    <sheet name="Set Up" sheetId="7" r:id="rId1"/>
    <sheet name="Parametros de entrada" sheetId="1" r:id="rId2"/>
    <sheet name="Arbol de decision" sheetId="9" state="hidden" r:id="rId3"/>
    <sheet name="Variables de control" sheetId="2" r:id="rId4"/>
    <sheet name="Resultados de la simulacion" sheetId="3" state="hidden" r:id="rId5"/>
    <sheet name="Resultados" sheetId="6" r:id="rId6"/>
    <sheet name="Analisis conjunto" sheetId="10" r:id="rId7"/>
    <sheet name="Resultados AMS" sheetId="11" state="hidden" r:id="rId8"/>
    <sheet name="Resultados LON" sheetId="12" state="hidden" r:id="rId9"/>
  </sheets>
  <definedNames>
    <definedName name="_xlnm._FilterDatabase" localSheetId="1" hidden="1">'Parametros de entrada'!$F$3:$H$19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0" l="1"/>
  <c r="L11" i="12" l="1"/>
  <c r="K11" i="12"/>
  <c r="J11" i="12"/>
  <c r="I11" i="12"/>
  <c r="L10" i="12"/>
  <c r="K10" i="12"/>
  <c r="J10" i="12"/>
  <c r="I10" i="12"/>
  <c r="F10" i="12"/>
  <c r="E10" i="12"/>
  <c r="D10" i="12"/>
  <c r="C10" i="12"/>
  <c r="L9" i="12"/>
  <c r="K9" i="12"/>
  <c r="J9" i="12"/>
  <c r="I9" i="12"/>
  <c r="F9" i="12"/>
  <c r="E9" i="12"/>
  <c r="D9" i="12"/>
  <c r="C9" i="12"/>
  <c r="L8" i="12"/>
  <c r="K8" i="12"/>
  <c r="J8" i="12"/>
  <c r="I8" i="12"/>
  <c r="F8" i="12"/>
  <c r="E8" i="12"/>
  <c r="D8" i="12"/>
  <c r="C8" i="12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L11" i="11"/>
  <c r="K11" i="11"/>
  <c r="J11" i="11"/>
  <c r="I11" i="11"/>
  <c r="L10" i="11"/>
  <c r="K10" i="11"/>
  <c r="J10" i="11"/>
  <c r="I10" i="11"/>
  <c r="F10" i="11"/>
  <c r="E10" i="11"/>
  <c r="D10" i="11"/>
  <c r="C10" i="11"/>
  <c r="L9" i="11"/>
  <c r="K9" i="11"/>
  <c r="J9" i="11"/>
  <c r="I9" i="11"/>
  <c r="F9" i="11"/>
  <c r="E9" i="11"/>
  <c r="D9" i="11"/>
  <c r="C9" i="11"/>
  <c r="L8" i="11"/>
  <c r="K8" i="11"/>
  <c r="J8" i="11"/>
  <c r="I8" i="11"/>
  <c r="F8" i="11"/>
  <c r="E8" i="11"/>
  <c r="D8" i="11"/>
  <c r="C8" i="11"/>
  <c r="N4" i="11"/>
  <c r="M4" i="11"/>
  <c r="L4" i="11"/>
  <c r="K4" i="11"/>
  <c r="J4" i="11"/>
  <c r="I4" i="11"/>
  <c r="H4" i="11"/>
  <c r="G4" i="11"/>
  <c r="F4" i="11"/>
  <c r="E4" i="11"/>
  <c r="D4" i="11"/>
  <c r="C4" i="11"/>
  <c r="B4" i="11"/>
  <c r="L11" i="6" l="1"/>
  <c r="K11" i="6"/>
  <c r="J11" i="6"/>
  <c r="I11" i="6"/>
  <c r="L10" i="6"/>
  <c r="K10" i="6"/>
  <c r="J10" i="6"/>
  <c r="I10" i="6"/>
  <c r="L9" i="6"/>
  <c r="K9" i="6"/>
  <c r="J9" i="6"/>
  <c r="I9" i="6"/>
  <c r="L8" i="6"/>
  <c r="K8" i="6"/>
  <c r="J8" i="6"/>
  <c r="I8" i="6"/>
  <c r="F10" i="6"/>
  <c r="E10" i="6"/>
  <c r="D10" i="6"/>
  <c r="C10" i="6"/>
  <c r="F9" i="6"/>
  <c r="E9" i="6"/>
  <c r="D9" i="6"/>
  <c r="C9" i="6"/>
  <c r="F8" i="6"/>
  <c r="E8" i="6"/>
  <c r="D8" i="6"/>
  <c r="C8" i="6"/>
  <c r="J5" i="9" l="1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4" i="9"/>
  <c r="H5" i="9" s="1"/>
  <c r="K5" i="9" s="1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4" i="9"/>
  <c r="H15" i="9" l="1"/>
  <c r="K15" i="9" s="1"/>
  <c r="H19" i="9"/>
  <c r="K19" i="9" s="1"/>
  <c r="H11" i="9"/>
  <c r="K11" i="9" s="1"/>
  <c r="H4" i="9"/>
  <c r="K4" i="9" s="1"/>
  <c r="H16" i="9"/>
  <c r="K16" i="9" s="1"/>
  <c r="H12" i="9"/>
  <c r="K12" i="9" s="1"/>
  <c r="H8" i="9"/>
  <c r="K8" i="9" s="1"/>
  <c r="H7" i="9"/>
  <c r="K7" i="9" s="1"/>
  <c r="H18" i="9"/>
  <c r="K18" i="9" s="1"/>
  <c r="H14" i="9"/>
  <c r="K14" i="9" s="1"/>
  <c r="H10" i="9"/>
  <c r="K10" i="9" s="1"/>
  <c r="H6" i="9"/>
  <c r="K6" i="9" s="1"/>
  <c r="H17" i="9"/>
  <c r="K17" i="9" s="1"/>
  <c r="H13" i="9"/>
  <c r="K13" i="9" s="1"/>
  <c r="H9" i="9"/>
  <c r="K9" i="9" s="1"/>
  <c r="N4" i="6"/>
  <c r="M4" i="6"/>
  <c r="L4" i="6"/>
  <c r="K4" i="6"/>
  <c r="J4" i="6"/>
  <c r="I4" i="6"/>
  <c r="H4" i="6"/>
  <c r="G4" i="6"/>
  <c r="F4" i="6"/>
  <c r="E4" i="6"/>
  <c r="D4" i="6"/>
  <c r="C4" i="6"/>
  <c r="B4" i="6"/>
  <c r="N11" i="9" l="1"/>
  <c r="N6" i="9" s="1"/>
  <c r="N12" i="9"/>
  <c r="N7" i="9" s="1"/>
  <c r="N9" i="9"/>
  <c r="N4" i="9" s="1"/>
  <c r="N10" i="9"/>
  <c r="N5" i="9" s="1"/>
  <c r="O12" i="9" l="1"/>
  <c r="O7" i="9" s="1"/>
  <c r="O9" i="9"/>
  <c r="O4" i="9" s="1"/>
  <c r="O11" i="9"/>
  <c r="P11" i="9" s="1"/>
  <c r="P6" i="9" s="1"/>
  <c r="O10" i="9"/>
  <c r="O5" i="9" s="1"/>
  <c r="P12" i="9" l="1"/>
  <c r="P7" i="9" s="1"/>
  <c r="P9" i="9"/>
  <c r="P4" i="9" s="1"/>
  <c r="O6" i="9"/>
  <c r="Q11" i="9"/>
  <c r="Q6" i="9" s="1"/>
  <c r="P10" i="9"/>
  <c r="P5" i="9" s="1"/>
  <c r="Q12" i="9" l="1"/>
  <c r="Q7" i="9" s="1"/>
  <c r="Q10" i="9"/>
  <c r="Q5" i="9" s="1"/>
  <c r="Q9" i="9"/>
  <c r="Q4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araya jimenez</author>
  </authors>
  <commentList>
    <comment ref="A2" authorId="0" shapeId="0" xr:uid="{77EE9768-AF3F-42EB-965A-4D620DF2CDE8}">
      <text>
        <r>
          <rPr>
            <b/>
            <sz val="9"/>
            <color indexed="81"/>
            <rFont val="Tahoma"/>
            <family val="2"/>
          </rPr>
          <t>rodrigo araya jimenez:</t>
        </r>
        <r>
          <rPr>
            <sz val="9"/>
            <color indexed="81"/>
            <rFont val="Tahoma"/>
            <family val="2"/>
          </rPr>
          <t xml:space="preserve">
Se observan los mismos costos para ambas bodegas</t>
        </r>
      </text>
    </comment>
    <comment ref="T2" authorId="0" shapeId="0" xr:uid="{B63D2502-B9EB-4C94-BE3F-C3868F024D23}">
      <text>
        <r>
          <rPr>
            <b/>
            <sz val="9"/>
            <color indexed="81"/>
            <rFont val="Tahoma"/>
            <family val="2"/>
          </rPr>
          <t>rodrigo araya jimenez:</t>
        </r>
        <r>
          <rPr>
            <sz val="9"/>
            <color indexed="81"/>
            <rFont val="Tahoma"/>
            <family val="2"/>
          </rPr>
          <t xml:space="preserve">
No se observar diferencias de costes por productos</t>
        </r>
      </text>
    </comment>
    <comment ref="X2" authorId="0" shapeId="0" xr:uid="{9F417F1D-BE1C-46C0-9979-C761835DECA3}">
      <text>
        <r>
          <rPr>
            <b/>
            <sz val="9"/>
            <color indexed="81"/>
            <rFont val="Tahoma"/>
            <family val="2"/>
          </rPr>
          <t>rodrigo araya jimenez:</t>
        </r>
        <r>
          <rPr>
            <sz val="9"/>
            <color indexed="81"/>
            <rFont val="Tahoma"/>
            <family val="2"/>
          </rPr>
          <t xml:space="preserve">
varia en el tiempo solo en funcion de su crecimiento</t>
        </r>
      </text>
    </comment>
  </commentList>
</comments>
</file>

<file path=xl/sharedStrings.xml><?xml version="1.0" encoding="utf-8"?>
<sst xmlns="http://schemas.openxmlformats.org/spreadsheetml/2006/main" count="1004" uniqueCount="168">
  <si>
    <t>Fabrica [f]</t>
  </si>
  <si>
    <t>Bodega [j]</t>
  </si>
  <si>
    <t>costo de ordenar a las fabricas</t>
  </si>
  <si>
    <t>Producto [i]</t>
  </si>
  <si>
    <t>CF[f, i]</t>
  </si>
  <si>
    <t>costo de fabricar</t>
  </si>
  <si>
    <t>capacidad productiva</t>
  </si>
  <si>
    <t>costo transporte F-B</t>
  </si>
  <si>
    <t>LO[f, i]</t>
  </si>
  <si>
    <t>CT[f, i, j]</t>
  </si>
  <si>
    <t>costo de despacho B-C</t>
  </si>
  <si>
    <t>Cliente [c]</t>
  </si>
  <si>
    <t>CD[i, c, j]</t>
  </si>
  <si>
    <t>demanda</t>
  </si>
  <si>
    <t>Tiempo [t]</t>
  </si>
  <si>
    <t>costo almacenaje</t>
  </si>
  <si>
    <t>CA[i, j]</t>
  </si>
  <si>
    <t>inventario inicial</t>
  </si>
  <si>
    <t>Inv[i, j]</t>
  </si>
  <si>
    <t>CO[i, f, j]</t>
  </si>
  <si>
    <t>D[i, c, t]</t>
  </si>
  <si>
    <t>Capacidad de camion</t>
  </si>
  <si>
    <t>CC[i]</t>
  </si>
  <si>
    <t>Costo fijo camion</t>
  </si>
  <si>
    <t>Up to level</t>
  </si>
  <si>
    <t>Bodega [i]</t>
  </si>
  <si>
    <t>Reorder point</t>
  </si>
  <si>
    <t>User Specified</t>
  </si>
  <si>
    <t>Nivel de servicio4</t>
  </si>
  <si>
    <t>Replication 1</t>
  </si>
  <si>
    <t>Nivel de servicio3</t>
  </si>
  <si>
    <t>Nivel de servicio2</t>
  </si>
  <si>
    <t>Nivel de servicio1</t>
  </si>
  <si>
    <t>costo_total</t>
  </si>
  <si>
    <t>Replication 4</t>
  </si>
  <si>
    <t>Replication 8</t>
  </si>
  <si>
    <t>Replication 7</t>
  </si>
  <si>
    <t>Replication 5</t>
  </si>
  <si>
    <t>Replication 2</t>
  </si>
  <si>
    <t>Replication 6</t>
  </si>
  <si>
    <t>Replication 3</t>
  </si>
  <si>
    <t>Replication 9</t>
  </si>
  <si>
    <t>Nombre de usuario</t>
  </si>
  <si>
    <t>Nombre variable de respuesta</t>
  </si>
  <si>
    <t>Replica</t>
  </si>
  <si>
    <t>Valor promedio</t>
  </si>
  <si>
    <t>Ultimo valor</t>
  </si>
  <si>
    <t>Variables de control</t>
  </si>
  <si>
    <t>Up to level 1</t>
  </si>
  <si>
    <t>Up to level 2</t>
  </si>
  <si>
    <t>Up to level 3</t>
  </si>
  <si>
    <t>Up to level 4</t>
  </si>
  <si>
    <t>Reorder point 1</t>
  </si>
  <si>
    <t>Reorder point 2</t>
  </si>
  <si>
    <t>Reorder point 3</t>
  </si>
  <si>
    <t>Reorder point 4</t>
  </si>
  <si>
    <t>Variables de respuesta</t>
  </si>
  <si>
    <t>Service level 1</t>
  </si>
  <si>
    <t>Service level 2</t>
  </si>
  <si>
    <t>Service level 3</t>
  </si>
  <si>
    <t>Service level 4</t>
  </si>
  <si>
    <t>Costo total</t>
  </si>
  <si>
    <t>7.2</t>
  </si>
  <si>
    <t>Fast Forward</t>
  </si>
  <si>
    <t>Controles</t>
  </si>
  <si>
    <t>Largo de replicas</t>
  </si>
  <si>
    <t>SI</t>
  </si>
  <si>
    <t>5.8</t>
  </si>
  <si>
    <t>6.44</t>
  </si>
  <si>
    <t>4.5</t>
  </si>
  <si>
    <t>Velocidad de simulacion (1-10)</t>
  </si>
  <si>
    <t>Numero de replicas (1-100)</t>
  </si>
  <si>
    <t>Factor de riesgo</t>
  </si>
  <si>
    <t>Fabrica</t>
  </si>
  <si>
    <t>FR[f]</t>
  </si>
  <si>
    <t>Tomar decision</t>
  </si>
  <si>
    <t>Ordenamiento producto 1</t>
  </si>
  <si>
    <t>Ordenamiento producto 4</t>
  </si>
  <si>
    <t>Ordenamiento producto 3</t>
  </si>
  <si>
    <t>En primer lugar</t>
  </si>
  <si>
    <t>En tercer lugar</t>
  </si>
  <si>
    <t>En cuarto lugar</t>
  </si>
  <si>
    <t>Decision1</t>
  </si>
  <si>
    <t>Ordenamiento producto 2</t>
  </si>
  <si>
    <t>Decision2</t>
  </si>
  <si>
    <t>Decision3</t>
  </si>
  <si>
    <t>Decision4</t>
  </si>
  <si>
    <t>Producto</t>
  </si>
  <si>
    <t>Coste ordenar</t>
  </si>
  <si>
    <t>Coste fabricar</t>
  </si>
  <si>
    <t>Costo Fabricar+Ordenar</t>
  </si>
  <si>
    <t>Llave combinada</t>
  </si>
  <si>
    <t>Costo ordenar</t>
  </si>
  <si>
    <t>En segundo lugar</t>
  </si>
  <si>
    <t>Replication 10</t>
  </si>
  <si>
    <t>Crecimiento anual</t>
  </si>
  <si>
    <t>0.1</t>
  </si>
  <si>
    <t>Review Period</t>
  </si>
  <si>
    <t>Cantidad_Ordenada_F2P1</t>
  </si>
  <si>
    <t>Cantidad_Ordenada_F2P2</t>
  </si>
  <si>
    <t>Cantidad_Ordenada_F2P3</t>
  </si>
  <si>
    <t>Cantidad_Ordenada_F3P1</t>
  </si>
  <si>
    <t>Cantidad_Ordenada_F3P2</t>
  </si>
  <si>
    <t>Cantidad_Ordenada_F3P3</t>
  </si>
  <si>
    <t>Cantidad_Ordenada_F3P4</t>
  </si>
  <si>
    <t>Cantidad_Ordenada_F4P1</t>
  </si>
  <si>
    <t>Cantidad_Ordenada_F4P2</t>
  </si>
  <si>
    <t>Cantidad_Ordenada_F4P3</t>
  </si>
  <si>
    <t>Cantidad_Ordenada_F4P4</t>
  </si>
  <si>
    <t>Cantidad_Ordenada_F2P4</t>
  </si>
  <si>
    <t>Cantidad_Ordenada_F1P4</t>
  </si>
  <si>
    <t>Cantidad_Ordenada_F1P2</t>
  </si>
  <si>
    <t>Cantidad_Ordenada_F1P1</t>
  </si>
  <si>
    <t>Cantidad_Ordenada_F1P3</t>
  </si>
  <si>
    <t>Nivel de inventario3</t>
  </si>
  <si>
    <t>Nivel de inventario4</t>
  </si>
  <si>
    <t>Nivel de inventario1</t>
  </si>
  <si>
    <t>Nivel de inventario2</t>
  </si>
  <si>
    <t>Valor minimo</t>
  </si>
  <si>
    <t>Valor maximo</t>
  </si>
  <si>
    <t>Niveles de inventarios</t>
  </si>
  <si>
    <t>Minimo observado</t>
  </si>
  <si>
    <t>Maximo observado</t>
  </si>
  <si>
    <t>P1</t>
  </si>
  <si>
    <t>P2</t>
  </si>
  <si>
    <t>P3</t>
  </si>
  <si>
    <t>P4</t>
  </si>
  <si>
    <t>Productos</t>
  </si>
  <si>
    <t>Cantidades ordenadas</t>
  </si>
  <si>
    <t>Productos/Fabricas</t>
  </si>
  <si>
    <t>F1</t>
  </si>
  <si>
    <t>F2</t>
  </si>
  <si>
    <t>F3</t>
  </si>
  <si>
    <t>F4</t>
  </si>
  <si>
    <t>Inicio de calentamiento</t>
  </si>
  <si>
    <t>(0.1*WEIB(4124.6,2.79)/30)*0.</t>
  </si>
  <si>
    <t>(0.1*WEIB(4124.6,2.79)/30)*1.</t>
  </si>
  <si>
    <t>LON</t>
  </si>
  <si>
    <t>AMS</t>
  </si>
  <si>
    <t>(0.0)*0.</t>
  </si>
  <si>
    <t>Costo total conjunto</t>
  </si>
  <si>
    <t xml:space="preserve">Coste total AMS </t>
  </si>
  <si>
    <t>0.0</t>
  </si>
  <si>
    <t>(0.2 * WEIB(4124.6, 2.79) / 30)*0.</t>
  </si>
  <si>
    <t>(0.2*WEIB(2886.8,3.68)/30)*0.</t>
  </si>
  <si>
    <t>(0.1*JOHN(-0.42,0.87,7133.7,-314.13)/30)*0.</t>
  </si>
  <si>
    <t>(0.1*TRIA(1000,1300,7000)/30)*0.</t>
  </si>
  <si>
    <t>(0.1*WEIB(4124.6,2.79)/30)*0.86</t>
  </si>
  <si>
    <t>(0.2*WEIB(2886.8,3.68)/30)*0.94</t>
  </si>
  <si>
    <t>(0.3*JOHN(-0.42,0.87,7133.7,-314.13)/30)*0.98</t>
  </si>
  <si>
    <t>(0.2*TRIA(1000,1300,7000)/30)*0.92</t>
  </si>
  <si>
    <t>(0.2*WEIB(4124.6,2.79)/30)*0.08</t>
  </si>
  <si>
    <t>(0.2*JOHN(-0.42,0.87,7133.7,-314.13)/30)*0.</t>
  </si>
  <si>
    <t>(0.1*WEIB(2886.8,3.68)/30)*0.</t>
  </si>
  <si>
    <t>(0.2*WEIB(4124.6,2.79)/30)*0.86</t>
  </si>
  <si>
    <t>(0.15*JOHN(-0.42,0.87,7133.7,-314.13)/30)*0.98</t>
  </si>
  <si>
    <t>(0.1*TRIA(1000,1300,7000)/30)*0.92</t>
  </si>
  <si>
    <t>(0.1*JOHN(-0.42,0.87,7133.7,-314.13)/30)*0.98</t>
  </si>
  <si>
    <t>(0.2*TRIA(1000,1300,7000)/30)*0.</t>
  </si>
  <si>
    <t>201.5</t>
  </si>
  <si>
    <t>154.2</t>
  </si>
  <si>
    <t>640.08</t>
  </si>
  <si>
    <t>529.6</t>
  </si>
  <si>
    <t>698.4</t>
  </si>
  <si>
    <t>559.</t>
  </si>
  <si>
    <t>509.85</t>
  </si>
  <si>
    <t>1.94</t>
  </si>
  <si>
    <t>4.75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</si>
</sst>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62">
    <xf numFmtId="0" fontId="0" fillId="0" borderId="0" xfId="0"/>
    <xf numFmtId="0" fontId="0" fillId="0" borderId="1" xfId="0" applyBorder="1" applyProtection="1"/>
    <xf numFmtId="0" fontId="0" fillId="0" borderId="0" xfId="0" applyProtection="1"/>
    <xf numFmtId="0" fontId="0" fillId="2" borderId="1" xfId="0" applyFill="1" applyBorder="1" applyProtection="1"/>
    <xf numFmtId="0" fontId="1" fillId="3" borderId="2" xfId="0" applyNumberFormat="1" applyFont="1" applyFill="1" applyBorder="1" applyProtection="1"/>
    <xf numFmtId="0" fontId="0" fillId="0" borderId="1" xfId="0" applyFill="1" applyBorder="1" applyProtection="1"/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8" xfId="0" applyFill="1" applyBorder="1"/>
    <xf numFmtId="0" fontId="0" fillId="2" borderId="9" xfId="0" applyFill="1" applyBorder="1"/>
    <xf numFmtId="0" fontId="0" fillId="2" borderId="1" xfId="0" applyFill="1" applyBorder="1" applyAlignment="1">
      <alignment horizontal="center" vertical="center"/>
    </xf>
    <xf numFmtId="49" fontId="0" fillId="4" borderId="1" xfId="0" applyNumberFormat="1" applyFill="1" applyBorder="1" applyProtection="1">
      <protection locked="0"/>
    </xf>
    <xf numFmtId="49" fontId="1" fillId="4" borderId="1" xfId="0" applyNumberFormat="1" applyFont="1" applyFill="1" applyBorder="1" applyProtection="1">
      <protection locked="0"/>
    </xf>
    <xf numFmtId="49" fontId="1" fillId="5" borderId="1" xfId="0" applyNumberFormat="1" applyFont="1" applyFill="1" applyBorder="1" applyProtection="1">
      <protection locked="0"/>
    </xf>
    <xf numFmtId="49" fontId="0" fillId="4" borderId="1" xfId="0" applyNumberFormat="1" applyFill="1" applyBorder="1" applyProtection="1"/>
    <xf numFmtId="1" fontId="0" fillId="4" borderId="1" xfId="0" applyNumberFormat="1" applyFill="1" applyBorder="1" applyProtection="1">
      <protection locked="0"/>
    </xf>
    <xf numFmtId="1" fontId="1" fillId="4" borderId="1" xfId="0" applyNumberFormat="1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49" fontId="0" fillId="4" borderId="1" xfId="0" applyNumberFormat="1" applyFill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10" fontId="0" fillId="0" borderId="10" xfId="2" applyNumberFormat="1" applyFont="1" applyBorder="1" applyProtection="1">
      <protection hidden="1"/>
    </xf>
    <xf numFmtId="10" fontId="0" fillId="0" borderId="11" xfId="2" applyNumberFormat="1" applyFont="1" applyBorder="1" applyProtection="1">
      <protection hidden="1"/>
    </xf>
    <xf numFmtId="164" fontId="0" fillId="0" borderId="12" xfId="1" applyNumberFormat="1" applyFont="1" applyBorder="1" applyProtection="1">
      <protection hidden="1"/>
    </xf>
    <xf numFmtId="0" fontId="0" fillId="0" borderId="0" xfId="0" applyProtection="1">
      <protection hidden="1"/>
    </xf>
    <xf numFmtId="0" fontId="0" fillId="0" borderId="1" xfId="0" applyBorder="1" applyProtection="1">
      <protection hidden="1"/>
    </xf>
    <xf numFmtId="1" fontId="0" fillId="0" borderId="1" xfId="0" applyNumberFormat="1" applyBorder="1" applyProtection="1">
      <protection hidden="1"/>
    </xf>
    <xf numFmtId="165" fontId="0" fillId="0" borderId="1" xfId="0" applyNumberFormat="1" applyBorder="1" applyProtection="1">
      <protection hidden="1"/>
    </xf>
    <xf numFmtId="0" fontId="0" fillId="0" borderId="0" xfId="0" applyBorder="1" applyProtection="1"/>
    <xf numFmtId="49" fontId="1" fillId="0" borderId="0" xfId="0" applyNumberFormat="1" applyFont="1" applyBorder="1" applyProtection="1">
      <protection locked="0"/>
    </xf>
    <xf numFmtId="1" fontId="0" fillId="0" borderId="0" xfId="0" applyNumberFormat="1" applyBorder="1" applyProtection="1">
      <protection locked="0"/>
    </xf>
    <xf numFmtId="1" fontId="1" fillId="0" borderId="0" xfId="0" applyNumberFormat="1" applyFont="1" applyBorder="1" applyProtection="1">
      <protection locked="0"/>
    </xf>
    <xf numFmtId="0" fontId="0" fillId="0" borderId="0" xfId="0" applyFill="1" applyBorder="1" applyProtection="1"/>
    <xf numFmtId="49" fontId="0" fillId="0" borderId="0" xfId="0" applyNumberFormat="1" applyFill="1" applyBorder="1" applyProtection="1">
      <protection locked="0"/>
    </xf>
    <xf numFmtId="49" fontId="1" fillId="0" borderId="0" xfId="0" applyNumberFormat="1" applyFont="1" applyFill="1" applyBorder="1" applyProtection="1">
      <protection locked="0"/>
    </xf>
    <xf numFmtId="0" fontId="0" fillId="0" borderId="0" xfId="0" applyBorder="1"/>
    <xf numFmtId="1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NumberFormat="1" applyFill="1" applyBorder="1" applyProtection="1">
      <protection locked="0"/>
    </xf>
    <xf numFmtId="0" fontId="7" fillId="2" borderId="1" xfId="0" applyFont="1" applyFill="1" applyBorder="1"/>
    <xf numFmtId="49" fontId="0" fillId="0" borderId="0" xfId="0" applyNumberFormat="1" applyBorder="1" applyProtection="1"/>
    <xf numFmtId="0" fontId="5" fillId="0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2" borderId="10" xfId="0" applyFill="1" applyBorder="1"/>
    <xf numFmtId="43" fontId="0" fillId="4" borderId="1" xfId="3" applyFont="1" applyFill="1" applyBorder="1" applyProtection="1"/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2" borderId="4" xfId="0" applyFill="1" applyBorder="1" applyAlignment="1" applyProtection="1">
      <alignment horizontal="center"/>
    </xf>
    <xf numFmtId="0" fontId="0" fillId="2" borderId="1" xfId="0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1</xdr:row>
      <xdr:rowOff>180975</xdr:rowOff>
    </xdr:from>
    <xdr:to>
      <xdr:col>12</xdr:col>
      <xdr:colOff>561975</xdr:colOff>
      <xdr:row>4</xdr:row>
      <xdr:rowOff>142875</xdr:rowOff>
    </xdr:to>
    <xdr:sp macro="[0]!Simular" textlink="">
      <xdr:nvSpPr>
        <xdr:cNvPr id="2" name="CuadroTexto 1">
          <a:extLst>
            <a:ext uri="{FF2B5EF4-FFF2-40B4-BE49-F238E27FC236}">
              <a16:creationId xmlns:a16="http://schemas.microsoft.com/office/drawing/2014/main" id="{A8A6C0F7-585A-4B66-B92D-41BECBAE1973}"/>
            </a:ext>
          </a:extLst>
        </xdr:cNvPr>
        <xdr:cNvSpPr txBox="1"/>
      </xdr:nvSpPr>
      <xdr:spPr>
        <a:xfrm>
          <a:off x="7753350" y="371475"/>
          <a:ext cx="2076450" cy="5334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600" b="1"/>
            <a:t>Simular</a:t>
          </a:r>
        </a:p>
      </xdr:txBody>
    </xdr:sp>
    <xdr:clientData/>
  </xdr:twoCellAnchor>
  <xdr:twoCellAnchor>
    <xdr:from>
      <xdr:col>10</xdr:col>
      <xdr:colOff>38100</xdr:colOff>
      <xdr:row>6</xdr:row>
      <xdr:rowOff>47625</xdr:rowOff>
    </xdr:from>
    <xdr:to>
      <xdr:col>12</xdr:col>
      <xdr:colOff>571500</xdr:colOff>
      <xdr:row>9</xdr:row>
      <xdr:rowOff>66675</xdr:rowOff>
    </xdr:to>
    <xdr:sp macro="[0]!access_database" textlink="">
      <xdr:nvSpPr>
        <xdr:cNvPr id="3" name="CuadroTexto 2">
          <a:extLst>
            <a:ext uri="{FF2B5EF4-FFF2-40B4-BE49-F238E27FC236}">
              <a16:creationId xmlns:a16="http://schemas.microsoft.com/office/drawing/2014/main" id="{091A0D52-47D6-4809-9EDA-D59A891802A8}"/>
            </a:ext>
          </a:extLst>
        </xdr:cNvPr>
        <xdr:cNvSpPr txBox="1"/>
      </xdr:nvSpPr>
      <xdr:spPr>
        <a:xfrm>
          <a:off x="7781925" y="1190625"/>
          <a:ext cx="2057400" cy="59055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600" b="1"/>
            <a:t>Importar</a:t>
          </a:r>
          <a:r>
            <a:rPr lang="es-CL" sz="1600" b="1" baseline="0"/>
            <a:t> </a:t>
          </a:r>
          <a:r>
            <a:rPr lang="es-CL" sz="1600" b="1"/>
            <a:t>Resultados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B63-5CAE-4815-849B-4DEAF648C2E6}">
  <sheetPr codeName="Hoja4"/>
  <dimension ref="B1:C6"/>
  <sheetViews>
    <sheetView workbookViewId="0">
      <selection activeCell="F9" sqref="F9"/>
    </sheetView>
  </sheetViews>
  <sheetFormatPr baseColWidth="10" defaultRowHeight="15" x14ac:dyDescent="0.25"/>
  <cols>
    <col min="2" max="2" width="28.5703125" bestFit="1" customWidth="1"/>
  </cols>
  <sheetData>
    <row r="1" spans="2:3" x14ac:dyDescent="0.25">
      <c r="B1" s="50" t="s">
        <v>64</v>
      </c>
      <c r="C1" s="51"/>
    </row>
    <row r="2" spans="2:3" x14ac:dyDescent="0.25">
      <c r="B2" s="13" t="s">
        <v>65</v>
      </c>
      <c r="C2" s="40">
        <v>365</v>
      </c>
    </row>
    <row r="3" spans="2:3" x14ac:dyDescent="0.25">
      <c r="B3" s="13" t="s">
        <v>71</v>
      </c>
      <c r="C3" s="40">
        <v>10</v>
      </c>
    </row>
    <row r="4" spans="2:3" x14ac:dyDescent="0.25">
      <c r="B4" s="13" t="s">
        <v>70</v>
      </c>
      <c r="C4" s="40">
        <v>1</v>
      </c>
    </row>
    <row r="5" spans="2:3" x14ac:dyDescent="0.25">
      <c r="B5" s="13" t="s">
        <v>63</v>
      </c>
      <c r="C5" s="21" t="s">
        <v>66</v>
      </c>
    </row>
    <row r="6" spans="2:3" x14ac:dyDescent="0.25">
      <c r="B6" s="13" t="s">
        <v>134</v>
      </c>
      <c r="C6" s="40">
        <v>0</v>
      </c>
    </row>
  </sheetData>
  <sheetProtection algorithmName="SHA-512" hashValue="TutJgqQfsHT9pjDS7ZEGazvqfIeaTFMz8FGfTaFpfzGPNHhjf6YXEByKr5yplIk/5/yNHlwGhuXkNt4CbElLZQ==" saltValue="vvEK/bWlWXt9l/oSjAU6IA==" spinCount="100000" sheet="1" objects="1" scenarios="1"/>
  <mergeCells count="1">
    <mergeCell ref="B1:C1"/>
  </mergeCells>
  <dataValidations count="4">
    <dataValidation type="list" allowBlank="1" showInputMessage="1" showErrorMessage="1" sqref="C5" xr:uid="{610FF22E-D7F4-41D1-AC9A-2B8F6F043E36}">
      <formula1>"SI,NO"</formula1>
    </dataValidation>
    <dataValidation type="whole" allowBlank="1" showInputMessage="1" showErrorMessage="1" sqref="C4" xr:uid="{F7D0A827-CC8B-4815-B3A0-878C176191A1}">
      <formula1>1</formula1>
      <formula2>10</formula2>
    </dataValidation>
    <dataValidation type="whole" allowBlank="1" showInputMessage="1" showErrorMessage="1" sqref="C3" xr:uid="{A68E8B4A-BAF9-4323-98B7-A076DC49C8CF}">
      <formula1>1</formula1>
      <formula2>100</formula2>
    </dataValidation>
    <dataValidation type="whole" allowBlank="1" showInputMessage="1" showErrorMessage="1" sqref="C6" xr:uid="{68EB12E9-D17C-458F-949E-252392633C7A}">
      <formula1>0</formula1>
      <formula2>C2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AO387"/>
  <sheetViews>
    <sheetView tabSelected="1" topLeftCell="AI1" workbookViewId="0">
      <selection activeCell="AG11" sqref="AG11"/>
    </sheetView>
  </sheetViews>
  <sheetFormatPr baseColWidth="10" defaultColWidth="9.140625" defaultRowHeight="15" x14ac:dyDescent="0.25"/>
  <cols>
    <col min="1" max="1" width="11.42578125" style="2" bestFit="1" customWidth="1"/>
    <col min="2" max="2" width="9.85546875" style="2" bestFit="1" customWidth="1"/>
    <col min="3" max="3" width="10" style="2" bestFit="1" customWidth="1"/>
    <col min="4" max="4" width="10.7109375" style="2" bestFit="1" customWidth="1"/>
    <col min="5" max="6" width="9.140625" style="2"/>
    <col min="7" max="7" width="11.42578125" style="2" bestFit="1" customWidth="1"/>
    <col min="8" max="13" width="9.140625" style="2"/>
    <col min="14" max="14" width="9.5703125" style="2" customWidth="1"/>
    <col min="15" max="15" width="11.42578125" style="2" bestFit="1" customWidth="1"/>
    <col min="16" max="16" width="9.140625" style="2"/>
    <col min="17" max="17" width="12" style="2" bestFit="1" customWidth="1"/>
    <col min="18" max="18" width="9.140625" style="2"/>
    <col min="19" max="19" width="11.28515625" style="2" customWidth="1"/>
    <col min="20" max="20" width="10.140625" style="2" bestFit="1" customWidth="1"/>
    <col min="21" max="21" width="10" style="2" bestFit="1" customWidth="1"/>
    <col min="22" max="22" width="18.42578125" style="2" bestFit="1" customWidth="1"/>
    <col min="23" max="23" width="9.140625" style="2"/>
    <col min="24" max="25" width="11.28515625" style="2" customWidth="1"/>
    <col min="26" max="26" width="10.85546875" style="2" customWidth="1"/>
    <col min="27" max="27" width="36.85546875" style="2" bestFit="1" customWidth="1"/>
    <col min="28" max="28" width="9.140625" style="2"/>
    <col min="29" max="29" width="11.42578125" style="2" customWidth="1"/>
    <col min="30" max="30" width="10" style="2" bestFit="1" customWidth="1"/>
    <col min="31" max="32" width="9.140625" style="2"/>
    <col min="33" max="33" width="11.5703125" style="2" customWidth="1"/>
    <col min="34" max="34" width="9.7109375" style="2" customWidth="1"/>
    <col min="35" max="36" width="9.140625" style="2"/>
    <col min="37" max="37" width="19.7109375" style="2" bestFit="1" customWidth="1"/>
    <col min="38" max="39" width="9.140625" style="2"/>
    <col min="40" max="40" width="17.28515625" style="2" bestFit="1" customWidth="1"/>
    <col min="41" max="16384" width="9.140625" style="2"/>
  </cols>
  <sheetData>
    <row r="2" spans="1:41" x14ac:dyDescent="0.25">
      <c r="A2" s="52" t="s">
        <v>2</v>
      </c>
      <c r="B2" s="52"/>
      <c r="C2" s="52"/>
      <c r="D2" s="52"/>
      <c r="F2" s="52" t="s">
        <v>5</v>
      </c>
      <c r="G2" s="52"/>
      <c r="H2" s="52"/>
      <c r="J2" s="52" t="s">
        <v>6</v>
      </c>
      <c r="K2" s="52"/>
      <c r="L2" s="52"/>
      <c r="N2" s="52" t="s">
        <v>7</v>
      </c>
      <c r="O2" s="52"/>
      <c r="P2" s="52"/>
      <c r="Q2" s="52"/>
      <c r="T2" s="52" t="s">
        <v>10</v>
      </c>
      <c r="U2" s="52"/>
      <c r="V2" s="52"/>
      <c r="X2" s="52" t="s">
        <v>13</v>
      </c>
      <c r="Y2" s="52"/>
      <c r="Z2" s="52"/>
      <c r="AA2" s="52"/>
      <c r="AC2" s="52" t="s">
        <v>15</v>
      </c>
      <c r="AD2" s="52"/>
      <c r="AE2" s="52"/>
      <c r="AG2" s="52" t="s">
        <v>17</v>
      </c>
      <c r="AH2" s="52"/>
      <c r="AI2" s="52"/>
      <c r="AK2" s="53" t="s">
        <v>21</v>
      </c>
      <c r="AL2" s="54"/>
      <c r="AN2" s="3" t="s">
        <v>23</v>
      </c>
      <c r="AO2" s="18">
        <v>5000</v>
      </c>
    </row>
    <row r="3" spans="1:41" x14ac:dyDescent="0.25">
      <c r="A3" s="3" t="s">
        <v>3</v>
      </c>
      <c r="B3" s="3" t="s">
        <v>0</v>
      </c>
      <c r="C3" s="3" t="s">
        <v>1</v>
      </c>
      <c r="D3" s="3" t="s">
        <v>19</v>
      </c>
      <c r="F3" s="3" t="s">
        <v>0</v>
      </c>
      <c r="G3" s="3" t="s">
        <v>3</v>
      </c>
      <c r="H3" s="3" t="s">
        <v>4</v>
      </c>
      <c r="J3" s="3" t="s">
        <v>0</v>
      </c>
      <c r="K3" s="3" t="s">
        <v>3</v>
      </c>
      <c r="L3" s="3" t="s">
        <v>8</v>
      </c>
      <c r="N3" s="3" t="s">
        <v>0</v>
      </c>
      <c r="O3" s="3" t="s">
        <v>3</v>
      </c>
      <c r="P3" s="3" t="s">
        <v>1</v>
      </c>
      <c r="Q3" s="4" t="s">
        <v>9</v>
      </c>
      <c r="S3" s="36"/>
      <c r="T3" s="3" t="s">
        <v>11</v>
      </c>
      <c r="U3" s="3" t="s">
        <v>1</v>
      </c>
      <c r="V3" s="3" t="s">
        <v>12</v>
      </c>
      <c r="X3" s="3" t="s">
        <v>3</v>
      </c>
      <c r="Y3" s="3" t="s">
        <v>11</v>
      </c>
      <c r="Z3" s="3" t="s">
        <v>14</v>
      </c>
      <c r="AA3" s="3" t="s">
        <v>20</v>
      </c>
      <c r="AC3" s="3" t="s">
        <v>3</v>
      </c>
      <c r="AD3" s="3" t="s">
        <v>1</v>
      </c>
      <c r="AE3" s="3" t="s">
        <v>16</v>
      </c>
      <c r="AG3" s="3" t="s">
        <v>3</v>
      </c>
      <c r="AH3" s="3" t="s">
        <v>1</v>
      </c>
      <c r="AI3" s="3" t="s">
        <v>18</v>
      </c>
      <c r="AK3" s="3" t="s">
        <v>3</v>
      </c>
      <c r="AL3" s="3" t="s">
        <v>22</v>
      </c>
    </row>
    <row r="4" spans="1:41" x14ac:dyDescent="0.25">
      <c r="A4" s="1">
        <v>1</v>
      </c>
      <c r="B4" s="1">
        <v>1</v>
      </c>
      <c r="C4" s="1">
        <v>1</v>
      </c>
      <c r="D4" s="19">
        <v>3</v>
      </c>
      <c r="F4" s="1">
        <v>1</v>
      </c>
      <c r="G4" s="1">
        <v>1</v>
      </c>
      <c r="H4" s="18">
        <v>50</v>
      </c>
      <c r="J4" s="1">
        <v>1</v>
      </c>
      <c r="K4" s="1">
        <v>1</v>
      </c>
      <c r="L4" s="19">
        <v>4000</v>
      </c>
      <c r="N4" s="1">
        <v>1</v>
      </c>
      <c r="O4" s="1">
        <v>1</v>
      </c>
      <c r="P4" s="1">
        <v>1</v>
      </c>
      <c r="Q4" s="14" t="s">
        <v>167</v>
      </c>
      <c r="S4" s="32"/>
      <c r="T4" s="1">
        <v>1</v>
      </c>
      <c r="U4" s="1">
        <v>1</v>
      </c>
      <c r="V4" s="15" t="s">
        <v>159</v>
      </c>
      <c r="X4" s="1">
        <v>1</v>
      </c>
      <c r="Y4" s="1">
        <v>1</v>
      </c>
      <c r="Z4" s="1">
        <v>1</v>
      </c>
      <c r="AA4" s="17" t="s">
        <v>143</v>
      </c>
      <c r="AC4" s="1">
        <v>1</v>
      </c>
      <c r="AD4" s="1">
        <v>1</v>
      </c>
      <c r="AE4" s="14" t="s">
        <v>142</v>
      </c>
      <c r="AG4" s="1">
        <v>1</v>
      </c>
      <c r="AH4" s="1">
        <v>1</v>
      </c>
      <c r="AI4" s="18">
        <v>5000</v>
      </c>
      <c r="AK4" s="1">
        <v>1</v>
      </c>
      <c r="AL4" s="18">
        <v>200</v>
      </c>
      <c r="AN4" s="3" t="s">
        <v>95</v>
      </c>
      <c r="AO4" s="49" t="s">
        <v>96</v>
      </c>
    </row>
    <row r="5" spans="1:41" x14ac:dyDescent="0.25">
      <c r="A5" s="1">
        <v>2</v>
      </c>
      <c r="B5" s="1">
        <v>1</v>
      </c>
      <c r="C5" s="1">
        <v>1</v>
      </c>
      <c r="D5" s="19">
        <v>4</v>
      </c>
      <c r="F5" s="1">
        <v>2</v>
      </c>
      <c r="G5" s="1">
        <v>1</v>
      </c>
      <c r="H5" s="18">
        <v>55</v>
      </c>
      <c r="J5" s="1">
        <v>2</v>
      </c>
      <c r="K5" s="1">
        <v>1</v>
      </c>
      <c r="L5" s="19">
        <v>4000</v>
      </c>
      <c r="N5" s="1">
        <v>2</v>
      </c>
      <c r="O5" s="1">
        <v>1</v>
      </c>
      <c r="P5" s="1">
        <v>1</v>
      </c>
      <c r="Q5" s="16" t="s">
        <v>67</v>
      </c>
      <c r="S5" s="32"/>
      <c r="T5" s="1">
        <v>2</v>
      </c>
      <c r="U5" s="1">
        <v>1</v>
      </c>
      <c r="V5" s="15" t="s">
        <v>166</v>
      </c>
      <c r="X5" s="1">
        <v>2</v>
      </c>
      <c r="Y5" s="1">
        <v>1</v>
      </c>
      <c r="Z5" s="1">
        <v>1</v>
      </c>
      <c r="AA5" s="17" t="s">
        <v>144</v>
      </c>
      <c r="AC5" s="1">
        <v>2</v>
      </c>
      <c r="AD5" s="1">
        <v>1</v>
      </c>
      <c r="AE5" s="14" t="s">
        <v>142</v>
      </c>
      <c r="AG5" s="1">
        <v>2</v>
      </c>
      <c r="AH5" s="1">
        <v>1</v>
      </c>
      <c r="AI5" s="18">
        <v>5000</v>
      </c>
      <c r="AK5" s="1">
        <v>2</v>
      </c>
      <c r="AL5" s="18">
        <v>150</v>
      </c>
    </row>
    <row r="6" spans="1:41" x14ac:dyDescent="0.25">
      <c r="A6" s="1">
        <v>3</v>
      </c>
      <c r="B6" s="1">
        <v>1</v>
      </c>
      <c r="C6" s="1">
        <v>1</v>
      </c>
      <c r="D6" s="19">
        <v>10</v>
      </c>
      <c r="F6" s="1">
        <v>3</v>
      </c>
      <c r="G6" s="1">
        <v>1</v>
      </c>
      <c r="H6" s="18">
        <v>52</v>
      </c>
      <c r="J6" s="1">
        <v>3</v>
      </c>
      <c r="K6" s="1">
        <v>1</v>
      </c>
      <c r="L6" s="19">
        <v>3000</v>
      </c>
      <c r="N6" s="1">
        <v>3</v>
      </c>
      <c r="O6" s="1">
        <v>1</v>
      </c>
      <c r="P6" s="1">
        <v>1</v>
      </c>
      <c r="Q6" s="16" t="s">
        <v>62</v>
      </c>
      <c r="S6" s="32"/>
      <c r="T6" s="1">
        <v>3</v>
      </c>
      <c r="U6" s="1">
        <v>1</v>
      </c>
      <c r="V6" s="15" t="s">
        <v>160</v>
      </c>
      <c r="X6" s="1">
        <v>3</v>
      </c>
      <c r="Y6" s="1">
        <v>1</v>
      </c>
      <c r="Z6" s="1">
        <v>1</v>
      </c>
      <c r="AA6" s="17" t="s">
        <v>145</v>
      </c>
      <c r="AC6" s="1">
        <v>3</v>
      </c>
      <c r="AD6" s="1">
        <v>1</v>
      </c>
      <c r="AE6" s="14" t="s">
        <v>142</v>
      </c>
      <c r="AG6" s="1">
        <v>3</v>
      </c>
      <c r="AH6" s="1">
        <v>1</v>
      </c>
      <c r="AI6" s="18">
        <v>5000</v>
      </c>
      <c r="AK6" s="1">
        <v>3</v>
      </c>
      <c r="AL6" s="18">
        <v>100</v>
      </c>
    </row>
    <row r="7" spans="1:41" x14ac:dyDescent="0.25">
      <c r="A7" s="1">
        <v>4</v>
      </c>
      <c r="B7" s="1">
        <v>1</v>
      </c>
      <c r="C7" s="1">
        <v>1</v>
      </c>
      <c r="D7" s="19">
        <v>2</v>
      </c>
      <c r="F7" s="1">
        <v>4</v>
      </c>
      <c r="G7" s="1">
        <v>1</v>
      </c>
      <c r="H7" s="18">
        <v>60</v>
      </c>
      <c r="J7" s="1">
        <v>4</v>
      </c>
      <c r="K7" s="1">
        <v>1</v>
      </c>
      <c r="L7" s="19">
        <v>3000</v>
      </c>
      <c r="N7" s="1">
        <v>4</v>
      </c>
      <c r="O7" s="1">
        <v>1</v>
      </c>
      <c r="P7" s="1">
        <v>1</v>
      </c>
      <c r="Q7" s="16" t="s">
        <v>68</v>
      </c>
      <c r="S7" s="32"/>
      <c r="T7" s="1">
        <v>4</v>
      </c>
      <c r="U7" s="1">
        <v>1</v>
      </c>
      <c r="V7" s="15" t="s">
        <v>161</v>
      </c>
      <c r="X7" s="1">
        <v>4</v>
      </c>
      <c r="Y7" s="1">
        <v>1</v>
      </c>
      <c r="Z7" s="1">
        <v>1</v>
      </c>
      <c r="AA7" s="17" t="s">
        <v>146</v>
      </c>
      <c r="AC7" s="1">
        <v>4</v>
      </c>
      <c r="AD7" s="1">
        <v>1</v>
      </c>
      <c r="AE7" s="14" t="s">
        <v>142</v>
      </c>
      <c r="AG7" s="1">
        <v>4</v>
      </c>
      <c r="AH7" s="1">
        <v>1</v>
      </c>
      <c r="AI7" s="18">
        <v>5000</v>
      </c>
      <c r="AK7" s="1">
        <v>4</v>
      </c>
      <c r="AL7" s="18">
        <v>300</v>
      </c>
    </row>
    <row r="8" spans="1:41" x14ac:dyDescent="0.25">
      <c r="A8" s="1">
        <v>1</v>
      </c>
      <c r="B8" s="1">
        <v>2</v>
      </c>
      <c r="C8" s="1">
        <v>1</v>
      </c>
      <c r="D8" s="19">
        <v>3</v>
      </c>
      <c r="F8" s="1">
        <v>1</v>
      </c>
      <c r="G8" s="1">
        <v>2</v>
      </c>
      <c r="H8" s="18">
        <v>100</v>
      </c>
      <c r="J8" s="1">
        <v>1</v>
      </c>
      <c r="K8" s="1">
        <v>2</v>
      </c>
      <c r="L8" s="19">
        <v>4000</v>
      </c>
      <c r="N8" s="1">
        <v>1</v>
      </c>
      <c r="O8" s="1">
        <v>2</v>
      </c>
      <c r="P8" s="1">
        <v>1</v>
      </c>
      <c r="Q8" s="14" t="s">
        <v>69</v>
      </c>
      <c r="S8" s="32"/>
      <c r="T8" s="1">
        <v>5</v>
      </c>
      <c r="U8" s="1">
        <v>1</v>
      </c>
      <c r="V8" s="15" t="s">
        <v>162</v>
      </c>
      <c r="X8" s="1">
        <v>1</v>
      </c>
      <c r="Y8" s="1">
        <v>2</v>
      </c>
      <c r="Z8" s="1">
        <v>1</v>
      </c>
      <c r="AA8" s="17" t="s">
        <v>147</v>
      </c>
      <c r="AC8" s="32"/>
      <c r="AD8" s="32"/>
      <c r="AE8" s="33"/>
      <c r="AF8" s="32"/>
      <c r="AG8" s="32"/>
      <c r="AH8" s="32"/>
      <c r="AI8" s="34"/>
    </row>
    <row r="9" spans="1:41" x14ac:dyDescent="0.25">
      <c r="A9" s="1">
        <v>2</v>
      </c>
      <c r="B9" s="1">
        <v>2</v>
      </c>
      <c r="C9" s="1">
        <v>1</v>
      </c>
      <c r="D9" s="19">
        <v>3</v>
      </c>
      <c r="F9" s="1">
        <v>2</v>
      </c>
      <c r="G9" s="1">
        <v>2</v>
      </c>
      <c r="H9" s="18">
        <v>110</v>
      </c>
      <c r="J9" s="1">
        <v>2</v>
      </c>
      <c r="K9" s="1">
        <v>2</v>
      </c>
      <c r="L9" s="19">
        <v>2000</v>
      </c>
      <c r="N9" s="1">
        <v>2</v>
      </c>
      <c r="O9" s="1">
        <v>2</v>
      </c>
      <c r="P9" s="1">
        <v>1</v>
      </c>
      <c r="Q9" s="16" t="s">
        <v>67</v>
      </c>
      <c r="S9" s="32"/>
      <c r="T9" s="1">
        <v>6</v>
      </c>
      <c r="U9" s="1">
        <v>1</v>
      </c>
      <c r="V9" s="15" t="s">
        <v>163</v>
      </c>
      <c r="X9" s="1">
        <v>2</v>
      </c>
      <c r="Y9" s="1">
        <v>2</v>
      </c>
      <c r="Z9" s="1">
        <v>1</v>
      </c>
      <c r="AA9" s="17" t="s">
        <v>148</v>
      </c>
      <c r="AC9" s="32"/>
      <c r="AD9" s="32"/>
      <c r="AE9" s="33"/>
      <c r="AF9" s="32"/>
      <c r="AG9" s="32"/>
      <c r="AH9" s="32"/>
      <c r="AI9" s="34"/>
    </row>
    <row r="10" spans="1:41" x14ac:dyDescent="0.25">
      <c r="A10" s="1">
        <v>3</v>
      </c>
      <c r="B10" s="1">
        <v>2</v>
      </c>
      <c r="C10" s="1">
        <v>1</v>
      </c>
      <c r="D10" s="19">
        <v>12</v>
      </c>
      <c r="F10" s="1">
        <v>3</v>
      </c>
      <c r="G10" s="1">
        <v>2</v>
      </c>
      <c r="H10" s="18">
        <v>110</v>
      </c>
      <c r="J10" s="1">
        <v>3</v>
      </c>
      <c r="K10" s="1">
        <v>2</v>
      </c>
      <c r="L10" s="19">
        <v>4000</v>
      </c>
      <c r="N10" s="1">
        <v>3</v>
      </c>
      <c r="O10" s="1">
        <v>2</v>
      </c>
      <c r="P10" s="1">
        <v>1</v>
      </c>
      <c r="Q10" s="16" t="s">
        <v>62</v>
      </c>
      <c r="S10" s="32"/>
      <c r="T10" s="1">
        <v>7</v>
      </c>
      <c r="U10" s="1">
        <v>1</v>
      </c>
      <c r="V10" s="15" t="s">
        <v>164</v>
      </c>
      <c r="X10" s="1">
        <v>3</v>
      </c>
      <c r="Y10" s="1">
        <v>2</v>
      </c>
      <c r="Z10" s="1">
        <v>1</v>
      </c>
      <c r="AA10" s="17" t="s">
        <v>149</v>
      </c>
      <c r="AC10" s="32"/>
      <c r="AD10" s="32"/>
      <c r="AE10" s="33"/>
      <c r="AF10" s="32"/>
      <c r="AG10" s="32"/>
      <c r="AH10" s="32"/>
      <c r="AI10" s="34"/>
      <c r="AK10" s="52" t="s">
        <v>72</v>
      </c>
      <c r="AL10" s="52"/>
    </row>
    <row r="11" spans="1:41" x14ac:dyDescent="0.25">
      <c r="A11" s="1">
        <v>4</v>
      </c>
      <c r="B11" s="1">
        <v>2</v>
      </c>
      <c r="C11" s="1">
        <v>1</v>
      </c>
      <c r="D11" s="19">
        <v>2</v>
      </c>
      <c r="F11" s="1">
        <v>4</v>
      </c>
      <c r="G11" s="1">
        <v>2</v>
      </c>
      <c r="H11" s="18">
        <v>120</v>
      </c>
      <c r="J11" s="1">
        <v>4</v>
      </c>
      <c r="K11" s="1">
        <v>2</v>
      </c>
      <c r="L11" s="19">
        <v>3000</v>
      </c>
      <c r="N11" s="1">
        <v>4</v>
      </c>
      <c r="O11" s="1">
        <v>2</v>
      </c>
      <c r="P11" s="1">
        <v>1</v>
      </c>
      <c r="Q11" s="16" t="s">
        <v>68</v>
      </c>
      <c r="S11" s="32"/>
      <c r="T11" s="1">
        <v>8</v>
      </c>
      <c r="U11" s="1">
        <v>1</v>
      </c>
      <c r="V11" s="15" t="s">
        <v>165</v>
      </c>
      <c r="X11" s="1">
        <v>4</v>
      </c>
      <c r="Y11" s="1">
        <v>2</v>
      </c>
      <c r="Z11" s="1">
        <v>1</v>
      </c>
      <c r="AA11" s="17" t="s">
        <v>150</v>
      </c>
      <c r="AC11" s="32"/>
      <c r="AD11" s="32"/>
      <c r="AE11" s="33"/>
      <c r="AF11" s="32"/>
      <c r="AG11" s="32"/>
      <c r="AH11" s="32"/>
      <c r="AI11" s="34"/>
      <c r="AK11" s="3" t="s">
        <v>73</v>
      </c>
      <c r="AL11" s="3" t="s">
        <v>74</v>
      </c>
    </row>
    <row r="12" spans="1:41" x14ac:dyDescent="0.25">
      <c r="A12" s="5">
        <v>1</v>
      </c>
      <c r="B12" s="5">
        <v>3</v>
      </c>
      <c r="C12" s="5">
        <v>1</v>
      </c>
      <c r="D12" s="19">
        <v>3</v>
      </c>
      <c r="F12" s="1">
        <v>1</v>
      </c>
      <c r="G12" s="1">
        <v>3</v>
      </c>
      <c r="H12" s="18">
        <v>300</v>
      </c>
      <c r="J12" s="1">
        <v>1</v>
      </c>
      <c r="K12" s="1">
        <v>3</v>
      </c>
      <c r="L12" s="19">
        <v>6000</v>
      </c>
      <c r="N12" s="1">
        <v>1</v>
      </c>
      <c r="O12" s="1">
        <v>3</v>
      </c>
      <c r="P12" s="1">
        <v>1</v>
      </c>
      <c r="Q12" s="14" t="s">
        <v>69</v>
      </c>
      <c r="S12" s="32"/>
      <c r="T12" s="36"/>
      <c r="U12" s="36"/>
      <c r="V12" s="36"/>
      <c r="X12" s="1">
        <v>1</v>
      </c>
      <c r="Y12" s="1">
        <v>3</v>
      </c>
      <c r="Z12" s="1">
        <v>1</v>
      </c>
      <c r="AA12" s="17" t="s">
        <v>151</v>
      </c>
      <c r="AC12" s="32"/>
      <c r="AD12" s="32"/>
      <c r="AE12" s="32"/>
      <c r="AF12" s="32"/>
      <c r="AG12" s="32"/>
      <c r="AH12" s="32"/>
      <c r="AI12" s="32"/>
      <c r="AK12" s="1">
        <v>1</v>
      </c>
      <c r="AL12" s="20">
        <v>0.1</v>
      </c>
    </row>
    <row r="13" spans="1:41" x14ac:dyDescent="0.25">
      <c r="A13" s="5">
        <v>2</v>
      </c>
      <c r="B13" s="5">
        <v>3</v>
      </c>
      <c r="C13" s="5">
        <v>1</v>
      </c>
      <c r="D13" s="19">
        <v>4</v>
      </c>
      <c r="F13" s="1">
        <v>2</v>
      </c>
      <c r="G13" s="1">
        <v>3</v>
      </c>
      <c r="H13" s="18">
        <v>310</v>
      </c>
      <c r="J13" s="1">
        <v>2</v>
      </c>
      <c r="K13" s="1">
        <v>3</v>
      </c>
      <c r="L13" s="19">
        <v>0</v>
      </c>
      <c r="N13" s="1">
        <v>2</v>
      </c>
      <c r="O13" s="1">
        <v>3</v>
      </c>
      <c r="P13" s="1">
        <v>1</v>
      </c>
      <c r="Q13" s="16" t="s">
        <v>67</v>
      </c>
      <c r="S13" s="32"/>
      <c r="T13" s="36"/>
      <c r="U13" s="36"/>
      <c r="V13" s="38"/>
      <c r="X13" s="1">
        <v>2</v>
      </c>
      <c r="Y13" s="1">
        <v>3</v>
      </c>
      <c r="Z13" s="1">
        <v>1</v>
      </c>
      <c r="AA13" s="17" t="s">
        <v>139</v>
      </c>
      <c r="AK13" s="1">
        <v>2</v>
      </c>
      <c r="AL13" s="20">
        <v>0.2</v>
      </c>
    </row>
    <row r="14" spans="1:41" x14ac:dyDescent="0.25">
      <c r="A14" s="5">
        <v>3</v>
      </c>
      <c r="B14" s="5">
        <v>3</v>
      </c>
      <c r="C14" s="5">
        <v>1</v>
      </c>
      <c r="D14" s="19">
        <v>10</v>
      </c>
      <c r="F14" s="1">
        <v>3</v>
      </c>
      <c r="G14" s="1">
        <v>3</v>
      </c>
      <c r="H14" s="18">
        <v>305</v>
      </c>
      <c r="J14" s="1">
        <v>3</v>
      </c>
      <c r="K14" s="1">
        <v>3</v>
      </c>
      <c r="L14" s="19">
        <v>4000</v>
      </c>
      <c r="N14" s="1">
        <v>3</v>
      </c>
      <c r="O14" s="1">
        <v>3</v>
      </c>
      <c r="P14" s="1">
        <v>1</v>
      </c>
      <c r="Q14" s="16" t="s">
        <v>62</v>
      </c>
      <c r="S14" s="32"/>
      <c r="T14" s="36"/>
      <c r="U14" s="36"/>
      <c r="V14" s="38"/>
      <c r="X14" s="1">
        <v>3</v>
      </c>
      <c r="Y14" s="1">
        <v>3</v>
      </c>
      <c r="Z14" s="1">
        <v>1</v>
      </c>
      <c r="AA14" s="17" t="s">
        <v>152</v>
      </c>
      <c r="AK14" s="1">
        <v>3</v>
      </c>
      <c r="AL14" s="20">
        <v>0.6</v>
      </c>
    </row>
    <row r="15" spans="1:41" x14ac:dyDescent="0.25">
      <c r="A15" s="5">
        <v>4</v>
      </c>
      <c r="B15" s="5">
        <v>3</v>
      </c>
      <c r="C15" s="5">
        <v>1</v>
      </c>
      <c r="D15" s="19">
        <v>3</v>
      </c>
      <c r="F15" s="1">
        <v>4</v>
      </c>
      <c r="G15" s="1">
        <v>3</v>
      </c>
      <c r="H15" s="18">
        <v>320</v>
      </c>
      <c r="J15" s="1">
        <v>4</v>
      </c>
      <c r="K15" s="1">
        <v>3</v>
      </c>
      <c r="L15" s="19">
        <v>2000</v>
      </c>
      <c r="N15" s="1">
        <v>4</v>
      </c>
      <c r="O15" s="1">
        <v>3</v>
      </c>
      <c r="P15" s="1">
        <v>1</v>
      </c>
      <c r="Q15" s="16" t="s">
        <v>68</v>
      </c>
      <c r="S15" s="32"/>
      <c r="T15" s="36"/>
      <c r="U15" s="36"/>
      <c r="V15" s="38"/>
      <c r="X15" s="1">
        <v>4</v>
      </c>
      <c r="Y15" s="1">
        <v>3</v>
      </c>
      <c r="Z15" s="1">
        <v>1</v>
      </c>
      <c r="AA15" s="17" t="s">
        <v>146</v>
      </c>
      <c r="AK15" s="1">
        <v>4</v>
      </c>
      <c r="AL15" s="20">
        <v>0.3</v>
      </c>
    </row>
    <row r="16" spans="1:41" x14ac:dyDescent="0.25">
      <c r="A16" s="5">
        <v>1</v>
      </c>
      <c r="B16" s="5">
        <v>4</v>
      </c>
      <c r="C16" s="5">
        <v>1</v>
      </c>
      <c r="D16" s="19">
        <v>4</v>
      </c>
      <c r="F16" s="1">
        <v>1</v>
      </c>
      <c r="G16" s="1">
        <v>4</v>
      </c>
      <c r="H16" s="18">
        <v>150</v>
      </c>
      <c r="J16" s="1">
        <v>1</v>
      </c>
      <c r="K16" s="1">
        <v>4</v>
      </c>
      <c r="L16" s="19">
        <v>2000</v>
      </c>
      <c r="N16" s="1">
        <v>1</v>
      </c>
      <c r="O16" s="1">
        <v>4</v>
      </c>
      <c r="P16" s="1">
        <v>1</v>
      </c>
      <c r="Q16" s="14" t="s">
        <v>69</v>
      </c>
      <c r="S16" s="32"/>
      <c r="T16" s="36"/>
      <c r="U16" s="36"/>
      <c r="V16" s="36"/>
      <c r="X16" s="1">
        <v>1</v>
      </c>
      <c r="Y16" s="1">
        <v>4</v>
      </c>
      <c r="Z16" s="1">
        <v>1</v>
      </c>
      <c r="AA16" s="17" t="s">
        <v>139</v>
      </c>
    </row>
    <row r="17" spans="1:27" x14ac:dyDescent="0.25">
      <c r="A17" s="5">
        <v>2</v>
      </c>
      <c r="B17" s="5">
        <v>4</v>
      </c>
      <c r="C17" s="5">
        <v>1</v>
      </c>
      <c r="D17" s="19">
        <v>4</v>
      </c>
      <c r="F17" s="1">
        <v>2</v>
      </c>
      <c r="G17" s="1">
        <v>4</v>
      </c>
      <c r="H17" s="18">
        <v>140</v>
      </c>
      <c r="J17" s="1">
        <v>2</v>
      </c>
      <c r="K17" s="1">
        <v>4</v>
      </c>
      <c r="L17" s="19">
        <v>4000</v>
      </c>
      <c r="N17" s="1">
        <v>2</v>
      </c>
      <c r="O17" s="1">
        <v>4</v>
      </c>
      <c r="P17" s="1">
        <v>1</v>
      </c>
      <c r="Q17" s="16" t="s">
        <v>67</v>
      </c>
      <c r="S17" s="32"/>
      <c r="T17" s="36"/>
      <c r="U17" s="36"/>
      <c r="V17" s="38"/>
      <c r="X17" s="1">
        <v>2</v>
      </c>
      <c r="Y17" s="1">
        <v>4</v>
      </c>
      <c r="Z17" s="1">
        <v>1</v>
      </c>
      <c r="AA17" s="17" t="s">
        <v>153</v>
      </c>
    </row>
    <row r="18" spans="1:27" x14ac:dyDescent="0.25">
      <c r="A18" s="5">
        <v>3</v>
      </c>
      <c r="B18" s="5">
        <v>4</v>
      </c>
      <c r="C18" s="5">
        <v>1</v>
      </c>
      <c r="D18" s="19">
        <v>11</v>
      </c>
      <c r="F18" s="1">
        <v>3</v>
      </c>
      <c r="G18" s="1">
        <v>4</v>
      </c>
      <c r="H18" s="18">
        <v>155</v>
      </c>
      <c r="J18" s="1">
        <v>3</v>
      </c>
      <c r="K18" s="1">
        <v>4</v>
      </c>
      <c r="L18" s="19">
        <v>4000</v>
      </c>
      <c r="N18" s="1">
        <v>3</v>
      </c>
      <c r="O18" s="1">
        <v>4</v>
      </c>
      <c r="P18" s="1">
        <v>1</v>
      </c>
      <c r="Q18" s="16" t="s">
        <v>62</v>
      </c>
      <c r="S18" s="32"/>
      <c r="T18" s="36"/>
      <c r="U18" s="36"/>
      <c r="V18" s="38"/>
      <c r="X18" s="1">
        <v>3</v>
      </c>
      <c r="Y18" s="1">
        <v>4</v>
      </c>
      <c r="Z18" s="1">
        <v>1</v>
      </c>
      <c r="AA18" s="17" t="s">
        <v>139</v>
      </c>
    </row>
    <row r="19" spans="1:27" x14ac:dyDescent="0.25">
      <c r="A19" s="5">
        <v>4</v>
      </c>
      <c r="B19" s="5">
        <v>4</v>
      </c>
      <c r="C19" s="5">
        <v>1</v>
      </c>
      <c r="D19" s="19">
        <v>2</v>
      </c>
      <c r="F19" s="1">
        <v>4</v>
      </c>
      <c r="G19" s="1">
        <v>4</v>
      </c>
      <c r="H19" s="18">
        <v>160</v>
      </c>
      <c r="J19" s="1">
        <v>4</v>
      </c>
      <c r="K19" s="1">
        <v>4</v>
      </c>
      <c r="L19" s="19">
        <v>2000</v>
      </c>
      <c r="N19" s="1">
        <v>4</v>
      </c>
      <c r="O19" s="1">
        <v>4</v>
      </c>
      <c r="P19" s="1">
        <v>1</v>
      </c>
      <c r="Q19" s="16" t="s">
        <v>68</v>
      </c>
      <c r="S19" s="32"/>
      <c r="T19" s="36"/>
      <c r="U19" s="36"/>
      <c r="V19" s="38"/>
      <c r="X19" s="1">
        <v>4</v>
      </c>
      <c r="Y19" s="1">
        <v>4</v>
      </c>
      <c r="Z19" s="1">
        <v>1</v>
      </c>
      <c r="AA19" s="17" t="s">
        <v>146</v>
      </c>
    </row>
    <row r="20" spans="1:27" x14ac:dyDescent="0.25">
      <c r="A20" s="32"/>
      <c r="B20" s="32"/>
      <c r="C20" s="32"/>
      <c r="D20" s="35"/>
      <c r="E20" s="32"/>
      <c r="M20" s="32"/>
      <c r="N20" s="32"/>
      <c r="O20" s="32"/>
      <c r="P20" s="32"/>
      <c r="Q20" s="37"/>
      <c r="S20" s="32"/>
      <c r="T20" s="36"/>
      <c r="U20" s="36"/>
      <c r="V20" s="36"/>
      <c r="X20" s="1">
        <v>1</v>
      </c>
      <c r="Y20" s="1">
        <v>5</v>
      </c>
      <c r="Z20" s="1">
        <v>1</v>
      </c>
      <c r="AA20" s="17" t="s">
        <v>154</v>
      </c>
    </row>
    <row r="21" spans="1:27" x14ac:dyDescent="0.25">
      <c r="A21" s="32"/>
      <c r="B21" s="32"/>
      <c r="C21" s="32"/>
      <c r="D21" s="35"/>
      <c r="E21" s="32"/>
      <c r="M21" s="32"/>
      <c r="N21" s="32"/>
      <c r="O21" s="32"/>
      <c r="P21" s="32"/>
      <c r="Q21" s="38"/>
      <c r="S21" s="32"/>
      <c r="T21" s="36"/>
      <c r="U21" s="36"/>
      <c r="V21" s="36"/>
      <c r="X21" s="1">
        <v>2</v>
      </c>
      <c r="Y21" s="1">
        <v>5</v>
      </c>
      <c r="Z21" s="1">
        <v>1</v>
      </c>
      <c r="AA21" s="17" t="s">
        <v>148</v>
      </c>
    </row>
    <row r="22" spans="1:27" x14ac:dyDescent="0.25">
      <c r="A22" s="32"/>
      <c r="B22" s="32"/>
      <c r="C22" s="32"/>
      <c r="D22" s="35"/>
      <c r="E22" s="32"/>
      <c r="M22" s="32"/>
      <c r="N22" s="32"/>
      <c r="O22" s="32"/>
      <c r="P22" s="32"/>
      <c r="Q22" s="38"/>
      <c r="S22" s="32"/>
      <c r="T22" s="36"/>
      <c r="U22" s="36"/>
      <c r="V22" s="36"/>
      <c r="X22" s="1">
        <v>3</v>
      </c>
      <c r="Y22" s="1">
        <v>5</v>
      </c>
      <c r="Z22" s="1">
        <v>1</v>
      </c>
      <c r="AA22" s="17" t="s">
        <v>155</v>
      </c>
    </row>
    <row r="23" spans="1:27" x14ac:dyDescent="0.25">
      <c r="A23" s="32"/>
      <c r="B23" s="32"/>
      <c r="C23" s="32"/>
      <c r="D23" s="35"/>
      <c r="E23" s="32"/>
      <c r="M23" s="32"/>
      <c r="N23" s="32"/>
      <c r="O23" s="32"/>
      <c r="P23" s="32"/>
      <c r="Q23" s="38"/>
      <c r="S23" s="32"/>
      <c r="T23" s="36"/>
      <c r="U23" s="36"/>
      <c r="V23" s="36"/>
      <c r="X23" s="1">
        <v>4</v>
      </c>
      <c r="Y23" s="1">
        <v>5</v>
      </c>
      <c r="Z23" s="1">
        <v>1</v>
      </c>
      <c r="AA23" s="17" t="s">
        <v>156</v>
      </c>
    </row>
    <row r="24" spans="1:27" x14ac:dyDescent="0.25">
      <c r="A24" s="32"/>
      <c r="B24" s="32"/>
      <c r="C24" s="32"/>
      <c r="D24" s="35"/>
      <c r="E24" s="32"/>
      <c r="M24" s="32"/>
      <c r="N24" s="32"/>
      <c r="O24" s="32"/>
      <c r="P24" s="32"/>
      <c r="Q24" s="37"/>
      <c r="S24" s="32"/>
      <c r="T24" s="36"/>
      <c r="U24" s="36"/>
      <c r="V24" s="36"/>
      <c r="X24" s="1">
        <v>1</v>
      </c>
      <c r="Y24" s="1">
        <v>6</v>
      </c>
      <c r="Z24" s="1">
        <v>1</v>
      </c>
      <c r="AA24" s="17" t="s">
        <v>147</v>
      </c>
    </row>
    <row r="25" spans="1:27" x14ac:dyDescent="0.25">
      <c r="A25" s="32"/>
      <c r="B25" s="32"/>
      <c r="C25" s="32"/>
      <c r="D25" s="35"/>
      <c r="E25" s="32"/>
      <c r="M25" s="32"/>
      <c r="N25" s="32"/>
      <c r="O25" s="32"/>
      <c r="P25" s="32"/>
      <c r="Q25" s="38"/>
      <c r="S25" s="32"/>
      <c r="T25" s="36"/>
      <c r="U25" s="36"/>
      <c r="V25" s="36"/>
      <c r="X25" s="1">
        <v>2</v>
      </c>
      <c r="Y25" s="1">
        <v>6</v>
      </c>
      <c r="Z25" s="1">
        <v>1</v>
      </c>
      <c r="AA25" s="17" t="s">
        <v>144</v>
      </c>
    </row>
    <row r="26" spans="1:27" x14ac:dyDescent="0.25">
      <c r="A26" s="32"/>
      <c r="B26" s="32"/>
      <c r="C26" s="32"/>
      <c r="D26" s="35"/>
      <c r="E26" s="32"/>
      <c r="M26" s="32"/>
      <c r="N26" s="32"/>
      <c r="O26" s="32"/>
      <c r="P26" s="32"/>
      <c r="Q26" s="38"/>
      <c r="S26" s="32"/>
      <c r="T26" s="36"/>
      <c r="U26" s="36"/>
      <c r="V26" s="36"/>
      <c r="X26" s="1">
        <v>3</v>
      </c>
      <c r="Y26" s="1">
        <v>6</v>
      </c>
      <c r="Z26" s="1">
        <v>1</v>
      </c>
      <c r="AA26" s="17" t="s">
        <v>157</v>
      </c>
    </row>
    <row r="27" spans="1:27" x14ac:dyDescent="0.25">
      <c r="A27" s="32"/>
      <c r="B27" s="32"/>
      <c r="C27" s="32"/>
      <c r="D27" s="35"/>
      <c r="E27" s="32"/>
      <c r="M27" s="32"/>
      <c r="N27" s="32"/>
      <c r="O27" s="32"/>
      <c r="P27" s="32"/>
      <c r="Q27" s="38"/>
      <c r="S27" s="32"/>
      <c r="T27" s="36"/>
      <c r="U27" s="36"/>
      <c r="V27" s="38"/>
      <c r="X27" s="1">
        <v>4</v>
      </c>
      <c r="Y27" s="1">
        <v>6</v>
      </c>
      <c r="Z27" s="1">
        <v>1</v>
      </c>
      <c r="AA27" s="17" t="s">
        <v>158</v>
      </c>
    </row>
    <row r="28" spans="1:27" x14ac:dyDescent="0.25">
      <c r="A28" s="36"/>
      <c r="B28" s="36"/>
      <c r="C28" s="36"/>
      <c r="D28" s="35"/>
      <c r="E28" s="32"/>
      <c r="M28" s="32"/>
      <c r="N28" s="32"/>
      <c r="O28" s="32"/>
      <c r="P28" s="32"/>
      <c r="Q28" s="37"/>
      <c r="S28" s="32"/>
      <c r="T28" s="36"/>
      <c r="U28" s="36"/>
      <c r="V28" s="36"/>
      <c r="X28" s="1">
        <v>1</v>
      </c>
      <c r="Y28" s="1">
        <v>7</v>
      </c>
      <c r="Z28" s="1">
        <v>1</v>
      </c>
      <c r="AA28" s="17" t="s">
        <v>136</v>
      </c>
    </row>
    <row r="29" spans="1:27" x14ac:dyDescent="0.25">
      <c r="A29" s="36"/>
      <c r="B29" s="36"/>
      <c r="C29" s="36"/>
      <c r="D29" s="35"/>
      <c r="E29" s="32"/>
      <c r="M29" s="32"/>
      <c r="N29" s="32"/>
      <c r="O29" s="32"/>
      <c r="P29" s="32"/>
      <c r="Q29" s="38"/>
      <c r="S29" s="32"/>
      <c r="T29" s="36"/>
      <c r="U29" s="36"/>
      <c r="V29" s="36"/>
      <c r="X29" s="1">
        <v>2</v>
      </c>
      <c r="Y29" s="1">
        <v>7</v>
      </c>
      <c r="Z29" s="1">
        <v>1</v>
      </c>
      <c r="AA29" s="17" t="s">
        <v>139</v>
      </c>
    </row>
    <row r="30" spans="1:27" x14ac:dyDescent="0.25">
      <c r="A30" s="36"/>
      <c r="B30" s="36"/>
      <c r="C30" s="36"/>
      <c r="D30" s="35"/>
      <c r="E30" s="32"/>
      <c r="M30" s="32"/>
      <c r="N30" s="32"/>
      <c r="O30" s="32"/>
      <c r="P30" s="32"/>
      <c r="Q30" s="38"/>
      <c r="S30" s="32"/>
      <c r="T30" s="36"/>
      <c r="U30" s="36"/>
      <c r="V30" s="38"/>
      <c r="X30" s="1">
        <v>3</v>
      </c>
      <c r="Y30" s="1">
        <v>7</v>
      </c>
      <c r="Z30" s="1">
        <v>1</v>
      </c>
      <c r="AA30" s="17" t="s">
        <v>155</v>
      </c>
    </row>
    <row r="31" spans="1:27" x14ac:dyDescent="0.25">
      <c r="A31" s="36"/>
      <c r="B31" s="36"/>
      <c r="C31" s="36"/>
      <c r="D31" s="35"/>
      <c r="E31" s="32"/>
      <c r="M31" s="32"/>
      <c r="N31" s="32"/>
      <c r="O31" s="32"/>
      <c r="P31" s="32"/>
      <c r="Q31" s="38"/>
      <c r="S31" s="32"/>
      <c r="T31" s="36"/>
      <c r="U31" s="36"/>
      <c r="V31" s="38"/>
      <c r="X31" s="1">
        <v>4</v>
      </c>
      <c r="Y31" s="1">
        <v>7</v>
      </c>
      <c r="Z31" s="1">
        <v>1</v>
      </c>
      <c r="AA31" s="17" t="s">
        <v>156</v>
      </c>
    </row>
    <row r="32" spans="1:27" x14ac:dyDescent="0.25">
      <c r="A32" s="36"/>
      <c r="B32" s="36"/>
      <c r="C32" s="36"/>
      <c r="D32" s="35"/>
      <c r="E32" s="32"/>
      <c r="M32" s="32"/>
      <c r="N32" s="32"/>
      <c r="O32" s="32"/>
      <c r="P32" s="32"/>
      <c r="Q32" s="37"/>
      <c r="S32" s="32"/>
      <c r="T32" s="36"/>
      <c r="U32" s="36"/>
      <c r="V32" s="36"/>
      <c r="X32" s="1">
        <v>1</v>
      </c>
      <c r="Y32" s="1">
        <v>8</v>
      </c>
      <c r="Z32" s="1">
        <v>1</v>
      </c>
      <c r="AA32" s="17" t="s">
        <v>135</v>
      </c>
    </row>
    <row r="33" spans="1:27" x14ac:dyDescent="0.25">
      <c r="A33" s="36"/>
      <c r="B33" s="36"/>
      <c r="C33" s="36"/>
      <c r="D33" s="35"/>
      <c r="E33" s="32"/>
      <c r="M33" s="32"/>
      <c r="N33" s="32"/>
      <c r="O33" s="32"/>
      <c r="P33" s="32"/>
      <c r="Q33" s="38"/>
      <c r="S33" s="32"/>
      <c r="T33" s="36"/>
      <c r="U33" s="36"/>
      <c r="V33" s="38"/>
      <c r="X33" s="1">
        <v>2</v>
      </c>
      <c r="Y33" s="1">
        <v>8</v>
      </c>
      <c r="Z33" s="1">
        <v>1</v>
      </c>
      <c r="AA33" s="17" t="s">
        <v>153</v>
      </c>
    </row>
    <row r="34" spans="1:27" x14ac:dyDescent="0.25">
      <c r="A34" s="36"/>
      <c r="B34" s="36"/>
      <c r="C34" s="36"/>
      <c r="D34" s="35"/>
      <c r="E34" s="32"/>
      <c r="M34" s="32"/>
      <c r="N34" s="32"/>
      <c r="O34" s="32"/>
      <c r="P34" s="32"/>
      <c r="Q34" s="38"/>
      <c r="S34" s="32"/>
      <c r="T34" s="36"/>
      <c r="U34" s="36"/>
      <c r="V34" s="38"/>
      <c r="X34" s="1">
        <v>3</v>
      </c>
      <c r="Y34" s="1">
        <v>8</v>
      </c>
      <c r="Z34" s="1">
        <v>1</v>
      </c>
      <c r="AA34" s="17" t="s">
        <v>139</v>
      </c>
    </row>
    <row r="35" spans="1:27" x14ac:dyDescent="0.25">
      <c r="A35" s="36"/>
      <c r="B35" s="36"/>
      <c r="C35" s="36"/>
      <c r="D35" s="35"/>
      <c r="E35" s="32"/>
      <c r="M35" s="32"/>
      <c r="N35" s="32"/>
      <c r="O35" s="32"/>
      <c r="P35" s="32"/>
      <c r="Q35" s="38"/>
      <c r="S35" s="32"/>
      <c r="T35" s="36"/>
      <c r="U35" s="36"/>
      <c r="V35" s="38"/>
      <c r="X35" s="1">
        <v>4</v>
      </c>
      <c r="Y35" s="1">
        <v>8</v>
      </c>
      <c r="Z35" s="1">
        <v>1</v>
      </c>
      <c r="AA35" s="17" t="s">
        <v>146</v>
      </c>
    </row>
    <row r="36" spans="1:27" x14ac:dyDescent="0.25">
      <c r="A36" s="32"/>
      <c r="B36" s="32"/>
      <c r="C36" s="32"/>
      <c r="D36" s="32"/>
      <c r="E36" s="32"/>
      <c r="M36" s="32"/>
      <c r="N36" s="32"/>
      <c r="O36" s="32"/>
      <c r="P36" s="32"/>
      <c r="Q36" s="36"/>
      <c r="S36" s="32"/>
      <c r="T36" s="36"/>
      <c r="U36" s="36"/>
      <c r="V36" s="38"/>
      <c r="X36" s="32"/>
      <c r="Y36" s="32"/>
      <c r="Z36" s="32"/>
      <c r="AA36" s="43"/>
    </row>
    <row r="37" spans="1:27" x14ac:dyDescent="0.25">
      <c r="A37" s="32"/>
      <c r="B37" s="32"/>
      <c r="C37" s="32"/>
      <c r="D37" s="32"/>
      <c r="E37" s="32"/>
      <c r="M37" s="32"/>
      <c r="N37" s="32"/>
      <c r="O37" s="32"/>
      <c r="P37" s="32"/>
      <c r="Q37" s="36"/>
      <c r="S37" s="32"/>
      <c r="T37" s="32"/>
      <c r="U37" s="32"/>
      <c r="V37" s="33"/>
      <c r="X37" s="32"/>
      <c r="Y37" s="32"/>
      <c r="Z37" s="32"/>
      <c r="AA37" s="43"/>
    </row>
    <row r="38" spans="1:27" x14ac:dyDescent="0.25">
      <c r="M38" s="32"/>
      <c r="N38" s="32"/>
      <c r="O38" s="32"/>
      <c r="P38" s="32"/>
      <c r="Q38" s="32"/>
      <c r="S38" s="32"/>
      <c r="T38" s="32"/>
      <c r="U38" s="32"/>
      <c r="V38" s="33"/>
      <c r="X38" s="32"/>
      <c r="Y38" s="32"/>
      <c r="Z38" s="32"/>
      <c r="AA38" s="43"/>
    </row>
    <row r="39" spans="1:27" x14ac:dyDescent="0.25">
      <c r="M39" s="32"/>
      <c r="N39" s="32"/>
      <c r="O39" s="32"/>
      <c r="P39" s="32"/>
      <c r="Q39" s="32"/>
      <c r="S39" s="32"/>
      <c r="T39" s="32"/>
      <c r="U39" s="32"/>
      <c r="V39" s="33"/>
      <c r="X39" s="32"/>
      <c r="Y39" s="32"/>
      <c r="Z39" s="32"/>
      <c r="AA39" s="43"/>
    </row>
    <row r="40" spans="1:27" x14ac:dyDescent="0.25">
      <c r="M40" s="32"/>
      <c r="N40" s="32"/>
      <c r="O40" s="32"/>
      <c r="P40" s="32"/>
      <c r="Q40" s="32"/>
      <c r="S40" s="32"/>
      <c r="T40" s="32"/>
      <c r="U40" s="32"/>
      <c r="V40" s="33"/>
      <c r="X40" s="32"/>
      <c r="Y40" s="32"/>
      <c r="Z40" s="32"/>
      <c r="AA40" s="43"/>
    </row>
    <row r="41" spans="1:27" x14ac:dyDescent="0.25">
      <c r="S41" s="32"/>
      <c r="T41" s="32"/>
      <c r="U41" s="32"/>
      <c r="V41" s="33"/>
      <c r="X41" s="32"/>
      <c r="Y41" s="32"/>
      <c r="Z41" s="32"/>
      <c r="AA41" s="43"/>
    </row>
    <row r="42" spans="1:27" x14ac:dyDescent="0.25">
      <c r="S42" s="32"/>
      <c r="T42" s="32"/>
      <c r="U42" s="32"/>
      <c r="V42" s="33"/>
      <c r="X42" s="32"/>
      <c r="Y42" s="32"/>
      <c r="Z42" s="32"/>
      <c r="AA42" s="43"/>
    </row>
    <row r="43" spans="1:27" x14ac:dyDescent="0.25">
      <c r="S43" s="32"/>
      <c r="T43" s="32"/>
      <c r="U43" s="32"/>
      <c r="V43" s="33"/>
      <c r="X43" s="32"/>
      <c r="Y43" s="32"/>
      <c r="Z43" s="32"/>
      <c r="AA43" s="43"/>
    </row>
    <row r="44" spans="1:27" x14ac:dyDescent="0.25">
      <c r="S44" s="32"/>
      <c r="T44" s="32"/>
      <c r="U44" s="32"/>
      <c r="V44" s="33"/>
      <c r="X44" s="32"/>
      <c r="Y44" s="32"/>
      <c r="Z44" s="32"/>
      <c r="AA44" s="43"/>
    </row>
    <row r="45" spans="1:27" x14ac:dyDescent="0.25">
      <c r="S45" s="32"/>
      <c r="T45" s="32"/>
      <c r="U45" s="32"/>
      <c r="V45" s="33"/>
      <c r="X45" s="32"/>
      <c r="Y45" s="32"/>
      <c r="Z45" s="32"/>
      <c r="AA45" s="43"/>
    </row>
    <row r="46" spans="1:27" x14ac:dyDescent="0.25">
      <c r="S46" s="32"/>
      <c r="T46" s="32"/>
      <c r="U46" s="32"/>
      <c r="V46" s="33"/>
      <c r="X46" s="32"/>
      <c r="Y46" s="32"/>
      <c r="Z46" s="32"/>
      <c r="AA46" s="43"/>
    </row>
    <row r="47" spans="1:27" x14ac:dyDescent="0.25">
      <c r="S47" s="32"/>
      <c r="T47" s="32"/>
      <c r="U47" s="32"/>
      <c r="V47" s="33"/>
      <c r="X47" s="32"/>
      <c r="Y47" s="32"/>
      <c r="Z47" s="32"/>
      <c r="AA47" s="43"/>
    </row>
    <row r="48" spans="1:27" ht="15" customHeight="1" x14ac:dyDescent="0.25">
      <c r="S48" s="32"/>
      <c r="T48" s="32"/>
      <c r="U48" s="32"/>
      <c r="V48" s="33"/>
      <c r="X48" s="32"/>
      <c r="Y48" s="32"/>
      <c r="Z48" s="32"/>
      <c r="AA48" s="43"/>
    </row>
    <row r="49" spans="19:27" x14ac:dyDescent="0.25">
      <c r="S49" s="32"/>
      <c r="T49" s="32"/>
      <c r="U49" s="32"/>
      <c r="V49" s="33"/>
      <c r="X49" s="32"/>
      <c r="Y49" s="32"/>
      <c r="Z49" s="32"/>
      <c r="AA49" s="43"/>
    </row>
    <row r="50" spans="19:27" x14ac:dyDescent="0.25">
      <c r="S50" s="32"/>
      <c r="T50" s="32"/>
      <c r="U50" s="32"/>
      <c r="V50" s="33"/>
      <c r="X50" s="32"/>
      <c r="Y50" s="32"/>
      <c r="Z50" s="32"/>
      <c r="AA50" s="43"/>
    </row>
    <row r="51" spans="19:27" x14ac:dyDescent="0.25">
      <c r="S51" s="32"/>
      <c r="T51" s="32"/>
      <c r="U51" s="32"/>
      <c r="V51" s="33"/>
      <c r="X51" s="32"/>
      <c r="Y51" s="32"/>
      <c r="Z51" s="32"/>
      <c r="AA51" s="43"/>
    </row>
    <row r="52" spans="19:27" x14ac:dyDescent="0.25">
      <c r="S52" s="32"/>
      <c r="T52" s="32"/>
      <c r="U52" s="32"/>
      <c r="V52" s="33"/>
      <c r="X52" s="32"/>
      <c r="Y52" s="32"/>
      <c r="Z52" s="32"/>
      <c r="AA52" s="32"/>
    </row>
    <row r="53" spans="19:27" x14ac:dyDescent="0.25">
      <c r="S53" s="32"/>
      <c r="T53" s="32"/>
      <c r="U53" s="32"/>
      <c r="V53" s="33"/>
      <c r="X53" s="32"/>
      <c r="Y53" s="32"/>
      <c r="Z53" s="32"/>
      <c r="AA53" s="32"/>
    </row>
    <row r="54" spans="19:27" x14ac:dyDescent="0.25">
      <c r="S54" s="32"/>
      <c r="T54" s="32"/>
      <c r="U54" s="32"/>
      <c r="V54" s="33"/>
      <c r="X54" s="32"/>
      <c r="Y54" s="32"/>
      <c r="Z54" s="32"/>
      <c r="AA54" s="32"/>
    </row>
    <row r="55" spans="19:27" x14ac:dyDescent="0.25">
      <c r="S55" s="32"/>
      <c r="T55" s="32"/>
      <c r="U55" s="32"/>
      <c r="V55" s="33"/>
      <c r="X55" s="32"/>
      <c r="Y55" s="32"/>
      <c r="Z55" s="32"/>
      <c r="AA55" s="32"/>
    </row>
    <row r="56" spans="19:27" x14ac:dyDescent="0.25">
      <c r="S56" s="32"/>
      <c r="T56" s="32"/>
      <c r="U56" s="32"/>
      <c r="V56" s="33"/>
      <c r="X56" s="32"/>
      <c r="Y56" s="32"/>
      <c r="Z56" s="32"/>
      <c r="AA56" s="32"/>
    </row>
    <row r="57" spans="19:27" x14ac:dyDescent="0.25">
      <c r="S57" s="32"/>
      <c r="T57" s="32"/>
      <c r="U57" s="32"/>
      <c r="V57" s="33"/>
      <c r="X57" s="32"/>
      <c r="Y57" s="32"/>
      <c r="Z57" s="32"/>
      <c r="AA57" s="32"/>
    </row>
    <row r="58" spans="19:27" x14ac:dyDescent="0.25">
      <c r="S58" s="32"/>
      <c r="T58" s="32"/>
      <c r="U58" s="32"/>
      <c r="V58" s="33"/>
      <c r="X58" s="32"/>
      <c r="Y58" s="32"/>
      <c r="Z58" s="32"/>
      <c r="AA58" s="32"/>
    </row>
    <row r="59" spans="19:27" x14ac:dyDescent="0.25">
      <c r="S59" s="32"/>
      <c r="T59" s="32"/>
      <c r="U59" s="32"/>
      <c r="V59" s="33"/>
      <c r="X59" s="32"/>
      <c r="Y59" s="32"/>
      <c r="Z59" s="32"/>
      <c r="AA59" s="32"/>
    </row>
    <row r="60" spans="19:27" x14ac:dyDescent="0.25">
      <c r="S60" s="32"/>
      <c r="T60" s="32"/>
      <c r="U60" s="32"/>
      <c r="V60" s="33"/>
      <c r="X60" s="32"/>
      <c r="Y60" s="32"/>
      <c r="Z60" s="32"/>
      <c r="AA60" s="32"/>
    </row>
    <row r="61" spans="19:27" x14ac:dyDescent="0.25">
      <c r="S61" s="32"/>
      <c r="T61" s="32"/>
      <c r="U61" s="32"/>
      <c r="V61" s="33"/>
      <c r="X61" s="32"/>
      <c r="Y61" s="32"/>
      <c r="Z61" s="32"/>
      <c r="AA61" s="32"/>
    </row>
    <row r="62" spans="19:27" x14ac:dyDescent="0.25">
      <c r="S62" s="32"/>
      <c r="T62" s="32"/>
      <c r="U62" s="32"/>
      <c r="V62" s="33"/>
      <c r="X62" s="32"/>
      <c r="Y62" s="32"/>
      <c r="Z62" s="32"/>
      <c r="AA62" s="32"/>
    </row>
    <row r="63" spans="19:27" x14ac:dyDescent="0.25">
      <c r="S63" s="32"/>
      <c r="T63" s="32"/>
      <c r="U63" s="32"/>
      <c r="V63" s="33"/>
      <c r="X63" s="32"/>
      <c r="Y63" s="32"/>
      <c r="Z63" s="32"/>
      <c r="AA63" s="32"/>
    </row>
    <row r="64" spans="19:27" x14ac:dyDescent="0.25">
      <c r="S64" s="32"/>
      <c r="T64" s="32"/>
      <c r="U64" s="32"/>
      <c r="V64" s="33"/>
      <c r="X64" s="32"/>
      <c r="Y64" s="32"/>
      <c r="Z64" s="32"/>
      <c r="AA64" s="32"/>
    </row>
    <row r="65" spans="19:27" x14ac:dyDescent="0.25">
      <c r="S65" s="32"/>
      <c r="T65" s="32"/>
      <c r="U65" s="32"/>
      <c r="V65" s="33"/>
      <c r="X65" s="32"/>
      <c r="Y65" s="32"/>
      <c r="Z65" s="32"/>
      <c r="AA65" s="32"/>
    </row>
    <row r="66" spans="19:27" x14ac:dyDescent="0.25">
      <c r="S66" s="32"/>
      <c r="T66" s="32"/>
      <c r="U66" s="32"/>
      <c r="V66" s="33"/>
      <c r="X66" s="32"/>
      <c r="Y66" s="32"/>
      <c r="Z66" s="32"/>
      <c r="AA66" s="32"/>
    </row>
    <row r="67" spans="19:27" x14ac:dyDescent="0.25">
      <c r="S67" s="32"/>
      <c r="T67" s="32"/>
      <c r="U67" s="32"/>
      <c r="V67" s="33"/>
      <c r="X67" s="32"/>
      <c r="Y67" s="32"/>
      <c r="Z67" s="32"/>
      <c r="AA67" s="32"/>
    </row>
    <row r="68" spans="19:27" x14ac:dyDescent="0.25">
      <c r="X68" s="32"/>
      <c r="Y68" s="32"/>
      <c r="Z68" s="32"/>
      <c r="AA68" s="32"/>
    </row>
    <row r="69" spans="19:27" x14ac:dyDescent="0.25">
      <c r="X69" s="32"/>
      <c r="Y69" s="32"/>
      <c r="Z69" s="32"/>
      <c r="AA69" s="32"/>
    </row>
    <row r="70" spans="19:27" x14ac:dyDescent="0.25">
      <c r="X70" s="32"/>
      <c r="Y70" s="32"/>
      <c r="Z70" s="32"/>
      <c r="AA70" s="32"/>
    </row>
    <row r="71" spans="19:27" x14ac:dyDescent="0.25">
      <c r="X71" s="32"/>
      <c r="Y71" s="32"/>
      <c r="Z71" s="32"/>
      <c r="AA71" s="32"/>
    </row>
    <row r="72" spans="19:27" x14ac:dyDescent="0.25">
      <c r="X72" s="32"/>
      <c r="Y72" s="32"/>
      <c r="Z72" s="32"/>
      <c r="AA72" s="32"/>
    </row>
    <row r="73" spans="19:27" x14ac:dyDescent="0.25">
      <c r="X73" s="32"/>
      <c r="Y73" s="32"/>
      <c r="Z73" s="32"/>
      <c r="AA73" s="32"/>
    </row>
    <row r="74" spans="19:27" x14ac:dyDescent="0.25">
      <c r="X74" s="32"/>
      <c r="Y74" s="32"/>
      <c r="Z74" s="32"/>
      <c r="AA74" s="32"/>
    </row>
    <row r="75" spans="19:27" x14ac:dyDescent="0.25">
      <c r="X75" s="32"/>
      <c r="Y75" s="32"/>
      <c r="Z75" s="32"/>
      <c r="AA75" s="32"/>
    </row>
    <row r="76" spans="19:27" x14ac:dyDescent="0.25">
      <c r="X76" s="32"/>
      <c r="Y76" s="32"/>
      <c r="Z76" s="32"/>
      <c r="AA76" s="32"/>
    </row>
    <row r="77" spans="19:27" x14ac:dyDescent="0.25">
      <c r="X77" s="32"/>
      <c r="Y77" s="32"/>
      <c r="Z77" s="32"/>
      <c r="AA77" s="32"/>
    </row>
    <row r="78" spans="19:27" x14ac:dyDescent="0.25">
      <c r="X78" s="32"/>
      <c r="Y78" s="32"/>
      <c r="Z78" s="32"/>
      <c r="AA78" s="32"/>
    </row>
    <row r="79" spans="19:27" x14ac:dyDescent="0.25">
      <c r="X79" s="32"/>
      <c r="Y79" s="32"/>
      <c r="Z79" s="32"/>
      <c r="AA79" s="32"/>
    </row>
    <row r="80" spans="19:27" x14ac:dyDescent="0.25">
      <c r="X80" s="32"/>
      <c r="Y80" s="32"/>
      <c r="Z80" s="32"/>
      <c r="AA80" s="43"/>
    </row>
    <row r="81" spans="24:27" x14ac:dyDescent="0.25">
      <c r="X81" s="32"/>
      <c r="Y81" s="32"/>
      <c r="Z81" s="32"/>
      <c r="AA81" s="43"/>
    </row>
    <row r="82" spans="24:27" x14ac:dyDescent="0.25">
      <c r="X82" s="32"/>
      <c r="Y82" s="32"/>
      <c r="Z82" s="32"/>
      <c r="AA82" s="43"/>
    </row>
    <row r="83" spans="24:27" x14ac:dyDescent="0.25">
      <c r="X83" s="32"/>
      <c r="Y83" s="32"/>
      <c r="Z83" s="32"/>
      <c r="AA83" s="43"/>
    </row>
    <row r="84" spans="24:27" x14ac:dyDescent="0.25">
      <c r="X84" s="32"/>
      <c r="Y84" s="32"/>
      <c r="Z84" s="32"/>
      <c r="AA84" s="43"/>
    </row>
    <row r="85" spans="24:27" x14ac:dyDescent="0.25">
      <c r="X85" s="32"/>
      <c r="Y85" s="32"/>
      <c r="Z85" s="32"/>
      <c r="AA85" s="43"/>
    </row>
    <row r="86" spans="24:27" x14ac:dyDescent="0.25">
      <c r="X86" s="32"/>
      <c r="Y86" s="32"/>
      <c r="Z86" s="32"/>
      <c r="AA86" s="43"/>
    </row>
    <row r="87" spans="24:27" x14ac:dyDescent="0.25">
      <c r="X87" s="32"/>
      <c r="Y87" s="32"/>
      <c r="Z87" s="32"/>
      <c r="AA87" s="43"/>
    </row>
    <row r="88" spans="24:27" x14ac:dyDescent="0.25">
      <c r="X88" s="32"/>
      <c r="Y88" s="32"/>
      <c r="Z88" s="32"/>
      <c r="AA88" s="43"/>
    </row>
    <row r="89" spans="24:27" x14ac:dyDescent="0.25">
      <c r="X89" s="32"/>
      <c r="Y89" s="32"/>
      <c r="Z89" s="32"/>
      <c r="AA89" s="43"/>
    </row>
    <row r="90" spans="24:27" x14ac:dyDescent="0.25">
      <c r="X90" s="32"/>
      <c r="Y90" s="32"/>
      <c r="Z90" s="32"/>
      <c r="AA90" s="43"/>
    </row>
    <row r="91" spans="24:27" x14ac:dyDescent="0.25">
      <c r="X91" s="32"/>
      <c r="Y91" s="32"/>
      <c r="Z91" s="32"/>
      <c r="AA91" s="43"/>
    </row>
    <row r="92" spans="24:27" x14ac:dyDescent="0.25">
      <c r="X92" s="32"/>
      <c r="Y92" s="32"/>
      <c r="Z92" s="32"/>
      <c r="AA92" s="43"/>
    </row>
    <row r="93" spans="24:27" x14ac:dyDescent="0.25">
      <c r="X93" s="32"/>
      <c r="Y93" s="32"/>
      <c r="Z93" s="32"/>
      <c r="AA93" s="43"/>
    </row>
    <row r="94" spans="24:27" x14ac:dyDescent="0.25">
      <c r="X94" s="32"/>
      <c r="Y94" s="32"/>
      <c r="Z94" s="32"/>
      <c r="AA94" s="43"/>
    </row>
    <row r="95" spans="24:27" x14ac:dyDescent="0.25">
      <c r="X95" s="32"/>
      <c r="Y95" s="32"/>
      <c r="Z95" s="32"/>
      <c r="AA95" s="43"/>
    </row>
    <row r="96" spans="24:27" x14ac:dyDescent="0.25">
      <c r="X96" s="32"/>
      <c r="Y96" s="32"/>
      <c r="Z96" s="32"/>
      <c r="AA96" s="43"/>
    </row>
    <row r="97" spans="24:27" x14ac:dyDescent="0.25">
      <c r="X97" s="32"/>
      <c r="Y97" s="32"/>
      <c r="Z97" s="32"/>
      <c r="AA97" s="43"/>
    </row>
    <row r="98" spans="24:27" x14ac:dyDescent="0.25">
      <c r="X98" s="32"/>
      <c r="Y98" s="32"/>
      <c r="Z98" s="32"/>
      <c r="AA98" s="43"/>
    </row>
    <row r="99" spans="24:27" x14ac:dyDescent="0.25">
      <c r="X99" s="32"/>
      <c r="Y99" s="32"/>
      <c r="Z99" s="32"/>
      <c r="AA99" s="43"/>
    </row>
    <row r="100" spans="24:27" x14ac:dyDescent="0.25">
      <c r="X100" s="32"/>
      <c r="Y100" s="32"/>
      <c r="Z100" s="32"/>
      <c r="AA100" s="32"/>
    </row>
    <row r="101" spans="24:27" x14ac:dyDescent="0.25">
      <c r="X101" s="32"/>
      <c r="Y101" s="32"/>
      <c r="Z101" s="32"/>
      <c r="AA101" s="32"/>
    </row>
    <row r="102" spans="24:27" x14ac:dyDescent="0.25">
      <c r="X102" s="32"/>
      <c r="Y102" s="32"/>
      <c r="Z102" s="32"/>
      <c r="AA102" s="32"/>
    </row>
    <row r="103" spans="24:27" x14ac:dyDescent="0.25">
      <c r="X103" s="32"/>
      <c r="Y103" s="32"/>
      <c r="Z103" s="32"/>
      <c r="AA103" s="32"/>
    </row>
    <row r="104" spans="24:27" x14ac:dyDescent="0.25">
      <c r="X104" s="32"/>
      <c r="Y104" s="32"/>
      <c r="Z104" s="32"/>
      <c r="AA104" s="32"/>
    </row>
    <row r="105" spans="24:27" x14ac:dyDescent="0.25">
      <c r="X105" s="32"/>
      <c r="Y105" s="32"/>
      <c r="Z105" s="32"/>
      <c r="AA105" s="32"/>
    </row>
    <row r="106" spans="24:27" x14ac:dyDescent="0.25">
      <c r="X106" s="32"/>
      <c r="Y106" s="32"/>
      <c r="Z106" s="32"/>
      <c r="AA106" s="32"/>
    </row>
    <row r="107" spans="24:27" x14ac:dyDescent="0.25">
      <c r="X107" s="32"/>
      <c r="Y107" s="32"/>
      <c r="Z107" s="32"/>
      <c r="AA107" s="32"/>
    </row>
    <row r="108" spans="24:27" x14ac:dyDescent="0.25">
      <c r="X108" s="32"/>
      <c r="Y108" s="32"/>
      <c r="Z108" s="32"/>
      <c r="AA108" s="32"/>
    </row>
    <row r="109" spans="24:27" x14ac:dyDescent="0.25">
      <c r="X109" s="32"/>
      <c r="Y109" s="32"/>
      <c r="Z109" s="32"/>
      <c r="AA109" s="32"/>
    </row>
    <row r="110" spans="24:27" x14ac:dyDescent="0.25">
      <c r="X110" s="32"/>
      <c r="Y110" s="32"/>
      <c r="Z110" s="32"/>
      <c r="AA110" s="32"/>
    </row>
    <row r="111" spans="24:27" x14ac:dyDescent="0.25">
      <c r="X111" s="32"/>
      <c r="Y111" s="32"/>
      <c r="Z111" s="32"/>
      <c r="AA111" s="32"/>
    </row>
    <row r="112" spans="24:27" x14ac:dyDescent="0.25">
      <c r="X112" s="32"/>
      <c r="Y112" s="32"/>
      <c r="Z112" s="32"/>
      <c r="AA112" s="32"/>
    </row>
    <row r="113" spans="24:27" x14ac:dyDescent="0.25">
      <c r="X113" s="32"/>
      <c r="Y113" s="32"/>
      <c r="Z113" s="32"/>
      <c r="AA113" s="32"/>
    </row>
    <row r="114" spans="24:27" x14ac:dyDescent="0.25">
      <c r="X114" s="32"/>
      <c r="Y114" s="32"/>
      <c r="Z114" s="32"/>
      <c r="AA114" s="32"/>
    </row>
    <row r="115" spans="24:27" x14ac:dyDescent="0.25">
      <c r="X115" s="32"/>
      <c r="Y115" s="32"/>
      <c r="Z115" s="32"/>
      <c r="AA115" s="32"/>
    </row>
    <row r="116" spans="24:27" x14ac:dyDescent="0.25">
      <c r="X116" s="32"/>
      <c r="Y116" s="32"/>
      <c r="Z116" s="32"/>
      <c r="AA116" s="32"/>
    </row>
    <row r="117" spans="24:27" x14ac:dyDescent="0.25">
      <c r="X117" s="32"/>
      <c r="Y117" s="32"/>
      <c r="Z117" s="32"/>
      <c r="AA117" s="32"/>
    </row>
    <row r="118" spans="24:27" x14ac:dyDescent="0.25">
      <c r="X118" s="32"/>
      <c r="Y118" s="32"/>
      <c r="Z118" s="32"/>
      <c r="AA118" s="32"/>
    </row>
    <row r="119" spans="24:27" x14ac:dyDescent="0.25">
      <c r="X119" s="32"/>
      <c r="Y119" s="32"/>
      <c r="Z119" s="32"/>
      <c r="AA119" s="32"/>
    </row>
    <row r="120" spans="24:27" x14ac:dyDescent="0.25">
      <c r="X120" s="32"/>
      <c r="Y120" s="32"/>
      <c r="Z120" s="32"/>
      <c r="AA120" s="32"/>
    </row>
    <row r="121" spans="24:27" x14ac:dyDescent="0.25">
      <c r="X121" s="32"/>
      <c r="Y121" s="32"/>
      <c r="Z121" s="32"/>
      <c r="AA121" s="32"/>
    </row>
    <row r="122" spans="24:27" x14ac:dyDescent="0.25">
      <c r="X122" s="32"/>
      <c r="Y122" s="32"/>
      <c r="Z122" s="32"/>
      <c r="AA122" s="32"/>
    </row>
    <row r="123" spans="24:27" x14ac:dyDescent="0.25">
      <c r="X123" s="32"/>
      <c r="Y123" s="32"/>
      <c r="Z123" s="32"/>
      <c r="AA123" s="32"/>
    </row>
    <row r="124" spans="24:27" x14ac:dyDescent="0.25">
      <c r="X124" s="32"/>
      <c r="Y124" s="32"/>
      <c r="Z124" s="32"/>
      <c r="AA124" s="43"/>
    </row>
    <row r="125" spans="24:27" x14ac:dyDescent="0.25">
      <c r="X125" s="32"/>
      <c r="Y125" s="32"/>
      <c r="Z125" s="32"/>
      <c r="AA125" s="43"/>
    </row>
    <row r="126" spans="24:27" x14ac:dyDescent="0.25">
      <c r="X126" s="32"/>
      <c r="Y126" s="32"/>
      <c r="Z126" s="32"/>
      <c r="AA126" s="43"/>
    </row>
    <row r="127" spans="24:27" x14ac:dyDescent="0.25">
      <c r="X127" s="32"/>
      <c r="Y127" s="32"/>
      <c r="Z127" s="32"/>
      <c r="AA127" s="43"/>
    </row>
    <row r="128" spans="24:27" x14ac:dyDescent="0.25">
      <c r="X128" s="32"/>
      <c r="Y128" s="32"/>
      <c r="Z128" s="32"/>
      <c r="AA128" s="43"/>
    </row>
    <row r="129" spans="24:27" x14ac:dyDescent="0.25">
      <c r="X129" s="32"/>
      <c r="Y129" s="32"/>
      <c r="Z129" s="32"/>
      <c r="AA129" s="43"/>
    </row>
    <row r="130" spans="24:27" x14ac:dyDescent="0.25">
      <c r="X130" s="32"/>
      <c r="Y130" s="32"/>
      <c r="Z130" s="32"/>
      <c r="AA130" s="43"/>
    </row>
    <row r="131" spans="24:27" x14ac:dyDescent="0.25">
      <c r="X131" s="32"/>
      <c r="Y131" s="32"/>
      <c r="Z131" s="32"/>
      <c r="AA131" s="43"/>
    </row>
    <row r="132" spans="24:27" x14ac:dyDescent="0.25">
      <c r="X132" s="32"/>
      <c r="Y132" s="32"/>
      <c r="Z132" s="32"/>
      <c r="AA132" s="43"/>
    </row>
    <row r="133" spans="24:27" x14ac:dyDescent="0.25">
      <c r="X133" s="32"/>
      <c r="Y133" s="32"/>
      <c r="Z133" s="32"/>
      <c r="AA133" s="43"/>
    </row>
    <row r="134" spans="24:27" x14ac:dyDescent="0.25">
      <c r="X134" s="32"/>
      <c r="Y134" s="32"/>
      <c r="Z134" s="32"/>
      <c r="AA134" s="43"/>
    </row>
    <row r="135" spans="24:27" x14ac:dyDescent="0.25">
      <c r="X135" s="32"/>
      <c r="Y135" s="32"/>
      <c r="Z135" s="32"/>
      <c r="AA135" s="43"/>
    </row>
    <row r="136" spans="24:27" x14ac:dyDescent="0.25">
      <c r="X136" s="32"/>
      <c r="Y136" s="32"/>
      <c r="Z136" s="32"/>
      <c r="AA136" s="43"/>
    </row>
    <row r="137" spans="24:27" x14ac:dyDescent="0.25">
      <c r="X137" s="32"/>
      <c r="Y137" s="32"/>
      <c r="Z137" s="32"/>
      <c r="AA137" s="43"/>
    </row>
    <row r="138" spans="24:27" x14ac:dyDescent="0.25">
      <c r="X138" s="32"/>
      <c r="Y138" s="32"/>
      <c r="Z138" s="32"/>
      <c r="AA138" s="43"/>
    </row>
    <row r="139" spans="24:27" x14ac:dyDescent="0.25">
      <c r="X139" s="32"/>
      <c r="Y139" s="32"/>
      <c r="Z139" s="32"/>
      <c r="AA139" s="43"/>
    </row>
    <row r="140" spans="24:27" x14ac:dyDescent="0.25">
      <c r="X140" s="32"/>
      <c r="Y140" s="32"/>
      <c r="Z140" s="32"/>
      <c r="AA140" s="43"/>
    </row>
    <row r="141" spans="24:27" x14ac:dyDescent="0.25">
      <c r="X141" s="32"/>
      <c r="Y141" s="32"/>
      <c r="Z141" s="32"/>
      <c r="AA141" s="43"/>
    </row>
    <row r="142" spans="24:27" x14ac:dyDescent="0.25">
      <c r="X142" s="32"/>
      <c r="Y142" s="32"/>
      <c r="Z142" s="32"/>
      <c r="AA142" s="43"/>
    </row>
    <row r="143" spans="24:27" x14ac:dyDescent="0.25">
      <c r="X143" s="32"/>
      <c r="Y143" s="32"/>
      <c r="Z143" s="32"/>
      <c r="AA143" s="43"/>
    </row>
    <row r="144" spans="24:27" x14ac:dyDescent="0.25">
      <c r="X144" s="32"/>
      <c r="Y144" s="32"/>
      <c r="Z144" s="32"/>
      <c r="AA144" s="43"/>
    </row>
    <row r="145" spans="24:27" x14ac:dyDescent="0.25">
      <c r="X145" s="32"/>
      <c r="Y145" s="32"/>
      <c r="Z145" s="32"/>
      <c r="AA145" s="43"/>
    </row>
    <row r="146" spans="24:27" x14ac:dyDescent="0.25">
      <c r="X146" s="32"/>
      <c r="Y146" s="32"/>
      <c r="Z146" s="32"/>
      <c r="AA146" s="43"/>
    </row>
    <row r="147" spans="24:27" x14ac:dyDescent="0.25">
      <c r="X147" s="32"/>
      <c r="Y147" s="32"/>
      <c r="Z147" s="32"/>
      <c r="AA147" s="43"/>
    </row>
    <row r="148" spans="24:27" x14ac:dyDescent="0.25">
      <c r="X148" s="32"/>
      <c r="Y148" s="32"/>
      <c r="Z148" s="32"/>
      <c r="AA148" s="32"/>
    </row>
    <row r="149" spans="24:27" x14ac:dyDescent="0.25">
      <c r="X149" s="32"/>
      <c r="Y149" s="32"/>
      <c r="Z149" s="32"/>
      <c r="AA149" s="32"/>
    </row>
    <row r="150" spans="24:27" x14ac:dyDescent="0.25">
      <c r="X150" s="32"/>
      <c r="Y150" s="32"/>
      <c r="Z150" s="32"/>
      <c r="AA150" s="32"/>
    </row>
    <row r="151" spans="24:27" x14ac:dyDescent="0.25">
      <c r="X151" s="32"/>
      <c r="Y151" s="32"/>
      <c r="Z151" s="32"/>
      <c r="AA151" s="32"/>
    </row>
    <row r="152" spans="24:27" x14ac:dyDescent="0.25">
      <c r="X152" s="32"/>
      <c r="Y152" s="32"/>
      <c r="Z152" s="32"/>
      <c r="AA152" s="32"/>
    </row>
    <row r="153" spans="24:27" x14ac:dyDescent="0.25">
      <c r="X153" s="32"/>
      <c r="Y153" s="32"/>
      <c r="Z153" s="32"/>
      <c r="AA153" s="32"/>
    </row>
    <row r="154" spans="24:27" x14ac:dyDescent="0.25">
      <c r="X154" s="32"/>
      <c r="Y154" s="32"/>
      <c r="Z154" s="32"/>
      <c r="AA154" s="32"/>
    </row>
    <row r="155" spans="24:27" x14ac:dyDescent="0.25">
      <c r="X155" s="32"/>
      <c r="Y155" s="32"/>
      <c r="Z155" s="32"/>
      <c r="AA155" s="32"/>
    </row>
    <row r="156" spans="24:27" x14ac:dyDescent="0.25">
      <c r="X156" s="32"/>
      <c r="Y156" s="32"/>
      <c r="Z156" s="32"/>
      <c r="AA156" s="32"/>
    </row>
    <row r="157" spans="24:27" x14ac:dyDescent="0.25">
      <c r="X157" s="32"/>
      <c r="Y157" s="32"/>
      <c r="Z157" s="32"/>
      <c r="AA157" s="32"/>
    </row>
    <row r="158" spans="24:27" x14ac:dyDescent="0.25">
      <c r="X158" s="32"/>
      <c r="Y158" s="32"/>
      <c r="Z158" s="32"/>
      <c r="AA158" s="32"/>
    </row>
    <row r="159" spans="24:27" x14ac:dyDescent="0.25">
      <c r="X159" s="32"/>
      <c r="Y159" s="32"/>
      <c r="Z159" s="32"/>
      <c r="AA159" s="32"/>
    </row>
    <row r="160" spans="24:27" x14ac:dyDescent="0.25">
      <c r="X160" s="32"/>
      <c r="Y160" s="32"/>
      <c r="Z160" s="32"/>
      <c r="AA160" s="32"/>
    </row>
    <row r="161" spans="24:27" x14ac:dyDescent="0.25">
      <c r="X161" s="32"/>
      <c r="Y161" s="32"/>
      <c r="Z161" s="32"/>
      <c r="AA161" s="32"/>
    </row>
    <row r="162" spans="24:27" x14ac:dyDescent="0.25">
      <c r="X162" s="32"/>
      <c r="Y162" s="32"/>
      <c r="Z162" s="32"/>
      <c r="AA162" s="32"/>
    </row>
    <row r="163" spans="24:27" x14ac:dyDescent="0.25">
      <c r="X163" s="32"/>
      <c r="Y163" s="32"/>
      <c r="Z163" s="32"/>
      <c r="AA163" s="32"/>
    </row>
    <row r="164" spans="24:27" x14ac:dyDescent="0.25">
      <c r="X164" s="32"/>
      <c r="Y164" s="32"/>
      <c r="Z164" s="32"/>
      <c r="AA164" s="32"/>
    </row>
    <row r="165" spans="24:27" x14ac:dyDescent="0.25">
      <c r="X165" s="32"/>
      <c r="Y165" s="32"/>
      <c r="Z165" s="32"/>
      <c r="AA165" s="32"/>
    </row>
    <row r="166" spans="24:27" x14ac:dyDescent="0.25">
      <c r="X166" s="32"/>
      <c r="Y166" s="32"/>
      <c r="Z166" s="32"/>
      <c r="AA166" s="32"/>
    </row>
    <row r="167" spans="24:27" x14ac:dyDescent="0.25">
      <c r="X167" s="32"/>
      <c r="Y167" s="32"/>
      <c r="Z167" s="32"/>
      <c r="AA167" s="32"/>
    </row>
    <row r="168" spans="24:27" x14ac:dyDescent="0.25">
      <c r="X168" s="32"/>
      <c r="Y168" s="32"/>
      <c r="Z168" s="32"/>
      <c r="AA168" s="43"/>
    </row>
    <row r="169" spans="24:27" x14ac:dyDescent="0.25">
      <c r="X169" s="32"/>
      <c r="Y169" s="32"/>
      <c r="Z169" s="32"/>
      <c r="AA169" s="43"/>
    </row>
    <row r="170" spans="24:27" x14ac:dyDescent="0.25">
      <c r="X170" s="32"/>
      <c r="Y170" s="32"/>
      <c r="Z170" s="32"/>
      <c r="AA170" s="43"/>
    </row>
    <row r="171" spans="24:27" x14ac:dyDescent="0.25">
      <c r="X171" s="32"/>
      <c r="Y171" s="32"/>
      <c r="Z171" s="32"/>
      <c r="AA171" s="43"/>
    </row>
    <row r="172" spans="24:27" x14ac:dyDescent="0.25">
      <c r="X172" s="32"/>
      <c r="Y172" s="32"/>
      <c r="Z172" s="32"/>
      <c r="AA172" s="43"/>
    </row>
    <row r="173" spans="24:27" x14ac:dyDescent="0.25">
      <c r="X173" s="32"/>
      <c r="Y173" s="32"/>
      <c r="Z173" s="32"/>
      <c r="AA173" s="43"/>
    </row>
    <row r="174" spans="24:27" x14ac:dyDescent="0.25">
      <c r="X174" s="32"/>
      <c r="Y174" s="32"/>
      <c r="Z174" s="32"/>
      <c r="AA174" s="43"/>
    </row>
    <row r="175" spans="24:27" x14ac:dyDescent="0.25">
      <c r="X175" s="32"/>
      <c r="Y175" s="32"/>
      <c r="Z175" s="32"/>
      <c r="AA175" s="43"/>
    </row>
    <row r="176" spans="24:27" x14ac:dyDescent="0.25">
      <c r="X176" s="32"/>
      <c r="Y176" s="32"/>
      <c r="Z176" s="32"/>
      <c r="AA176" s="43"/>
    </row>
    <row r="177" spans="24:27" x14ac:dyDescent="0.25">
      <c r="X177" s="32"/>
      <c r="Y177" s="32"/>
      <c r="Z177" s="32"/>
      <c r="AA177" s="43"/>
    </row>
    <row r="178" spans="24:27" x14ac:dyDescent="0.25">
      <c r="X178" s="32"/>
      <c r="Y178" s="32"/>
      <c r="Z178" s="32"/>
      <c r="AA178" s="43"/>
    </row>
    <row r="179" spans="24:27" x14ac:dyDescent="0.25">
      <c r="X179" s="32"/>
      <c r="Y179" s="32"/>
      <c r="Z179" s="32"/>
      <c r="AA179" s="43"/>
    </row>
    <row r="180" spans="24:27" x14ac:dyDescent="0.25">
      <c r="X180" s="32"/>
      <c r="Y180" s="32"/>
      <c r="Z180" s="32"/>
      <c r="AA180" s="43"/>
    </row>
    <row r="181" spans="24:27" x14ac:dyDescent="0.25">
      <c r="X181" s="32"/>
      <c r="Y181" s="32"/>
      <c r="Z181" s="32"/>
      <c r="AA181" s="43"/>
    </row>
    <row r="182" spans="24:27" x14ac:dyDescent="0.25">
      <c r="X182" s="32"/>
      <c r="Y182" s="32"/>
      <c r="Z182" s="32"/>
      <c r="AA182" s="43"/>
    </row>
    <row r="183" spans="24:27" x14ac:dyDescent="0.25">
      <c r="X183" s="32"/>
      <c r="Y183" s="32"/>
      <c r="Z183" s="32"/>
      <c r="AA183" s="43"/>
    </row>
    <row r="184" spans="24:27" x14ac:dyDescent="0.25">
      <c r="X184" s="32"/>
      <c r="Y184" s="32"/>
      <c r="Z184" s="32"/>
      <c r="AA184" s="43"/>
    </row>
    <row r="185" spans="24:27" x14ac:dyDescent="0.25">
      <c r="X185" s="32"/>
      <c r="Y185" s="32"/>
      <c r="Z185" s="32"/>
      <c r="AA185" s="43"/>
    </row>
    <row r="186" spans="24:27" x14ac:dyDescent="0.25">
      <c r="X186" s="32"/>
      <c r="Y186" s="32"/>
      <c r="Z186" s="32"/>
      <c r="AA186" s="43"/>
    </row>
    <row r="187" spans="24:27" x14ac:dyDescent="0.25">
      <c r="X187" s="32"/>
      <c r="Y187" s="32"/>
      <c r="Z187" s="32"/>
      <c r="AA187" s="43"/>
    </row>
    <row r="188" spans="24:27" x14ac:dyDescent="0.25">
      <c r="X188" s="32"/>
      <c r="Y188" s="32"/>
      <c r="Z188" s="32"/>
      <c r="AA188" s="43"/>
    </row>
    <row r="189" spans="24:27" x14ac:dyDescent="0.25">
      <c r="X189" s="32"/>
      <c r="Y189" s="32"/>
      <c r="Z189" s="32"/>
      <c r="AA189" s="43"/>
    </row>
    <row r="190" spans="24:27" x14ac:dyDescent="0.25">
      <c r="X190" s="32"/>
      <c r="Y190" s="32"/>
      <c r="Z190" s="32"/>
      <c r="AA190" s="43"/>
    </row>
    <row r="191" spans="24:27" x14ac:dyDescent="0.25">
      <c r="X191" s="32"/>
      <c r="Y191" s="32"/>
      <c r="Z191" s="32"/>
      <c r="AA191" s="43"/>
    </row>
    <row r="192" spans="24:27" x14ac:dyDescent="0.25">
      <c r="X192" s="32"/>
      <c r="Y192" s="32"/>
      <c r="Z192" s="32"/>
      <c r="AA192" s="43"/>
    </row>
    <row r="193" spans="24:27" x14ac:dyDescent="0.25">
      <c r="X193" s="32"/>
      <c r="Y193" s="32"/>
      <c r="Z193" s="32"/>
      <c r="AA193" s="43"/>
    </row>
    <row r="194" spans="24:27" x14ac:dyDescent="0.25">
      <c r="X194" s="32"/>
      <c r="Y194" s="32"/>
      <c r="Z194" s="32"/>
      <c r="AA194" s="43"/>
    </row>
    <row r="195" spans="24:27" x14ac:dyDescent="0.25">
      <c r="X195" s="32"/>
      <c r="Y195" s="32"/>
      <c r="Z195" s="32"/>
      <c r="AA195" s="43"/>
    </row>
    <row r="196" spans="24:27" x14ac:dyDescent="0.25">
      <c r="X196" s="32"/>
      <c r="Y196" s="32"/>
      <c r="Z196" s="32"/>
      <c r="AA196" s="32"/>
    </row>
    <row r="197" spans="24:27" x14ac:dyDescent="0.25">
      <c r="X197" s="32"/>
      <c r="Y197" s="32"/>
      <c r="Z197" s="32"/>
      <c r="AA197" s="32"/>
    </row>
    <row r="198" spans="24:27" x14ac:dyDescent="0.25">
      <c r="X198" s="32"/>
      <c r="Y198" s="32"/>
      <c r="Z198" s="32"/>
      <c r="AA198" s="32"/>
    </row>
    <row r="199" spans="24:27" x14ac:dyDescent="0.25">
      <c r="X199" s="32"/>
      <c r="Y199" s="32"/>
      <c r="Z199" s="32"/>
      <c r="AA199" s="32"/>
    </row>
    <row r="200" spans="24:27" x14ac:dyDescent="0.25">
      <c r="X200" s="32"/>
      <c r="Y200" s="32"/>
      <c r="Z200" s="32"/>
      <c r="AA200" s="32"/>
    </row>
    <row r="201" spans="24:27" x14ac:dyDescent="0.25">
      <c r="X201" s="32"/>
      <c r="Y201" s="32"/>
      <c r="Z201" s="32"/>
      <c r="AA201" s="32"/>
    </row>
    <row r="202" spans="24:27" x14ac:dyDescent="0.25">
      <c r="X202" s="32"/>
      <c r="Y202" s="32"/>
      <c r="Z202" s="32"/>
      <c r="AA202" s="32"/>
    </row>
    <row r="203" spans="24:27" x14ac:dyDescent="0.25">
      <c r="X203" s="32"/>
      <c r="Y203" s="32"/>
      <c r="Z203" s="32"/>
      <c r="AA203" s="32"/>
    </row>
    <row r="204" spans="24:27" x14ac:dyDescent="0.25">
      <c r="X204" s="32"/>
      <c r="Y204" s="32"/>
      <c r="Z204" s="32"/>
      <c r="AA204" s="32"/>
    </row>
    <row r="205" spans="24:27" x14ac:dyDescent="0.25">
      <c r="X205" s="32"/>
      <c r="Y205" s="32"/>
      <c r="Z205" s="32"/>
      <c r="AA205" s="32"/>
    </row>
    <row r="206" spans="24:27" x14ac:dyDescent="0.25">
      <c r="X206" s="32"/>
      <c r="Y206" s="32"/>
      <c r="Z206" s="32"/>
      <c r="AA206" s="32"/>
    </row>
    <row r="207" spans="24:27" x14ac:dyDescent="0.25">
      <c r="X207" s="32"/>
      <c r="Y207" s="32"/>
      <c r="Z207" s="32"/>
      <c r="AA207" s="32"/>
    </row>
    <row r="208" spans="24:27" x14ac:dyDescent="0.25">
      <c r="X208" s="32"/>
      <c r="Y208" s="32"/>
      <c r="Z208" s="32"/>
      <c r="AA208" s="32"/>
    </row>
    <row r="209" spans="24:27" x14ac:dyDescent="0.25">
      <c r="X209" s="32"/>
      <c r="Y209" s="32"/>
      <c r="Z209" s="32"/>
      <c r="AA209" s="32"/>
    </row>
    <row r="210" spans="24:27" x14ac:dyDescent="0.25">
      <c r="X210" s="32"/>
      <c r="Y210" s="32"/>
      <c r="Z210" s="32"/>
      <c r="AA210" s="32"/>
    </row>
    <row r="211" spans="24:27" x14ac:dyDescent="0.25">
      <c r="X211" s="32"/>
      <c r="Y211" s="32"/>
      <c r="Z211" s="32"/>
      <c r="AA211" s="32"/>
    </row>
    <row r="212" spans="24:27" x14ac:dyDescent="0.25">
      <c r="X212" s="32"/>
      <c r="Y212" s="32"/>
      <c r="Z212" s="32"/>
      <c r="AA212" s="43"/>
    </row>
    <row r="213" spans="24:27" x14ac:dyDescent="0.25">
      <c r="X213" s="32"/>
      <c r="Y213" s="32"/>
      <c r="Z213" s="32"/>
      <c r="AA213" s="43"/>
    </row>
    <row r="214" spans="24:27" x14ac:dyDescent="0.25">
      <c r="X214" s="32"/>
      <c r="Y214" s="32"/>
      <c r="Z214" s="32"/>
      <c r="AA214" s="43"/>
    </row>
    <row r="215" spans="24:27" x14ac:dyDescent="0.25">
      <c r="X215" s="32"/>
      <c r="Y215" s="32"/>
      <c r="Z215" s="32"/>
      <c r="AA215" s="43"/>
    </row>
    <row r="216" spans="24:27" x14ac:dyDescent="0.25">
      <c r="X216" s="32"/>
      <c r="Y216" s="32"/>
      <c r="Z216" s="32"/>
      <c r="AA216" s="43"/>
    </row>
    <row r="217" spans="24:27" x14ac:dyDescent="0.25">
      <c r="X217" s="32"/>
      <c r="Y217" s="32"/>
      <c r="Z217" s="32"/>
      <c r="AA217" s="43"/>
    </row>
    <row r="218" spans="24:27" x14ac:dyDescent="0.25">
      <c r="X218" s="32"/>
      <c r="Y218" s="32"/>
      <c r="Z218" s="32"/>
      <c r="AA218" s="43"/>
    </row>
    <row r="219" spans="24:27" x14ac:dyDescent="0.25">
      <c r="X219" s="32"/>
      <c r="Y219" s="32"/>
      <c r="Z219" s="32"/>
      <c r="AA219" s="43"/>
    </row>
    <row r="220" spans="24:27" x14ac:dyDescent="0.25">
      <c r="X220" s="32"/>
      <c r="Y220" s="32"/>
      <c r="Z220" s="32"/>
      <c r="AA220" s="43"/>
    </row>
    <row r="221" spans="24:27" x14ac:dyDescent="0.25">
      <c r="X221" s="32"/>
      <c r="Y221" s="32"/>
      <c r="Z221" s="32"/>
      <c r="AA221" s="43"/>
    </row>
    <row r="222" spans="24:27" x14ac:dyDescent="0.25">
      <c r="X222" s="32"/>
      <c r="Y222" s="32"/>
      <c r="Z222" s="32"/>
      <c r="AA222" s="43"/>
    </row>
    <row r="223" spans="24:27" x14ac:dyDescent="0.25">
      <c r="X223" s="32"/>
      <c r="Y223" s="32"/>
      <c r="Z223" s="32"/>
      <c r="AA223" s="43"/>
    </row>
    <row r="224" spans="24:27" x14ac:dyDescent="0.25">
      <c r="X224" s="32"/>
      <c r="Y224" s="32"/>
      <c r="Z224" s="32"/>
      <c r="AA224" s="43"/>
    </row>
    <row r="225" spans="24:27" x14ac:dyDescent="0.25">
      <c r="X225" s="32"/>
      <c r="Y225" s="32"/>
      <c r="Z225" s="32"/>
      <c r="AA225" s="43"/>
    </row>
    <row r="226" spans="24:27" x14ac:dyDescent="0.25">
      <c r="X226" s="32"/>
      <c r="Y226" s="32"/>
      <c r="Z226" s="32"/>
      <c r="AA226" s="43"/>
    </row>
    <row r="227" spans="24:27" x14ac:dyDescent="0.25">
      <c r="X227" s="32"/>
      <c r="Y227" s="32"/>
      <c r="Z227" s="32"/>
      <c r="AA227" s="43"/>
    </row>
    <row r="228" spans="24:27" x14ac:dyDescent="0.25">
      <c r="X228" s="32"/>
      <c r="Y228" s="32"/>
      <c r="Z228" s="32"/>
      <c r="AA228" s="43"/>
    </row>
    <row r="229" spans="24:27" x14ac:dyDescent="0.25">
      <c r="X229" s="32"/>
      <c r="Y229" s="32"/>
      <c r="Z229" s="32"/>
      <c r="AA229" s="43"/>
    </row>
    <row r="230" spans="24:27" x14ac:dyDescent="0.25">
      <c r="X230" s="32"/>
      <c r="Y230" s="32"/>
      <c r="Z230" s="32"/>
      <c r="AA230" s="43"/>
    </row>
    <row r="231" spans="24:27" x14ac:dyDescent="0.25">
      <c r="X231" s="32"/>
      <c r="Y231" s="32"/>
      <c r="Z231" s="32"/>
      <c r="AA231" s="43"/>
    </row>
    <row r="232" spans="24:27" x14ac:dyDescent="0.25">
      <c r="X232" s="32"/>
      <c r="Y232" s="32"/>
      <c r="Z232" s="32"/>
      <c r="AA232" s="43"/>
    </row>
    <row r="233" spans="24:27" x14ac:dyDescent="0.25">
      <c r="X233" s="32"/>
      <c r="Y233" s="32"/>
      <c r="Z233" s="32"/>
      <c r="AA233" s="43"/>
    </row>
    <row r="234" spans="24:27" x14ac:dyDescent="0.25">
      <c r="X234" s="32"/>
      <c r="Y234" s="32"/>
      <c r="Z234" s="32"/>
      <c r="AA234" s="43"/>
    </row>
    <row r="235" spans="24:27" x14ac:dyDescent="0.25">
      <c r="X235" s="32"/>
      <c r="Y235" s="32"/>
      <c r="Z235" s="32"/>
      <c r="AA235" s="43"/>
    </row>
    <row r="236" spans="24:27" x14ac:dyDescent="0.25">
      <c r="X236" s="32"/>
      <c r="Y236" s="32"/>
      <c r="Z236" s="32"/>
      <c r="AA236" s="43"/>
    </row>
    <row r="237" spans="24:27" x14ac:dyDescent="0.25">
      <c r="X237" s="32"/>
      <c r="Y237" s="32"/>
      <c r="Z237" s="32"/>
      <c r="AA237" s="43"/>
    </row>
    <row r="238" spans="24:27" x14ac:dyDescent="0.25">
      <c r="X238" s="32"/>
      <c r="Y238" s="32"/>
      <c r="Z238" s="32"/>
      <c r="AA238" s="43"/>
    </row>
    <row r="239" spans="24:27" x14ac:dyDescent="0.25">
      <c r="X239" s="32"/>
      <c r="Y239" s="32"/>
      <c r="Z239" s="32"/>
      <c r="AA239" s="43"/>
    </row>
    <row r="240" spans="24:27" x14ac:dyDescent="0.25">
      <c r="X240" s="32"/>
      <c r="Y240" s="32"/>
      <c r="Z240" s="32"/>
      <c r="AA240" s="43"/>
    </row>
    <row r="241" spans="24:27" x14ac:dyDescent="0.25">
      <c r="X241" s="32"/>
      <c r="Y241" s="32"/>
      <c r="Z241" s="32"/>
      <c r="AA241" s="43"/>
    </row>
    <row r="242" spans="24:27" x14ac:dyDescent="0.25">
      <c r="X242" s="32"/>
      <c r="Y242" s="32"/>
      <c r="Z242" s="32"/>
      <c r="AA242" s="43"/>
    </row>
    <row r="243" spans="24:27" x14ac:dyDescent="0.25">
      <c r="X243" s="32"/>
      <c r="Y243" s="32"/>
      <c r="Z243" s="32"/>
      <c r="AA243" s="43"/>
    </row>
    <row r="244" spans="24:27" x14ac:dyDescent="0.25">
      <c r="X244" s="32"/>
      <c r="Y244" s="32"/>
      <c r="Z244" s="32"/>
      <c r="AA244" s="32"/>
    </row>
    <row r="245" spans="24:27" x14ac:dyDescent="0.25">
      <c r="X245" s="32"/>
      <c r="Y245" s="32"/>
      <c r="Z245" s="32"/>
      <c r="AA245" s="32"/>
    </row>
    <row r="246" spans="24:27" x14ac:dyDescent="0.25">
      <c r="X246" s="32"/>
      <c r="Y246" s="32"/>
      <c r="Z246" s="32"/>
      <c r="AA246" s="32"/>
    </row>
    <row r="247" spans="24:27" x14ac:dyDescent="0.25">
      <c r="X247" s="32"/>
      <c r="Y247" s="32"/>
      <c r="Z247" s="32"/>
      <c r="AA247" s="32"/>
    </row>
    <row r="248" spans="24:27" x14ac:dyDescent="0.25">
      <c r="X248" s="32"/>
      <c r="Y248" s="32"/>
      <c r="Z248" s="32"/>
      <c r="AA248" s="32"/>
    </row>
    <row r="249" spans="24:27" x14ac:dyDescent="0.25">
      <c r="X249" s="32"/>
      <c r="Y249" s="32"/>
      <c r="Z249" s="32"/>
      <c r="AA249" s="32"/>
    </row>
    <row r="250" spans="24:27" x14ac:dyDescent="0.25">
      <c r="X250" s="32"/>
      <c r="Y250" s="32"/>
      <c r="Z250" s="32"/>
      <c r="AA250" s="32"/>
    </row>
    <row r="251" spans="24:27" x14ac:dyDescent="0.25">
      <c r="X251" s="32"/>
      <c r="Y251" s="32"/>
      <c r="Z251" s="32"/>
      <c r="AA251" s="32"/>
    </row>
    <row r="252" spans="24:27" x14ac:dyDescent="0.25">
      <c r="X252" s="32"/>
      <c r="Y252" s="32"/>
      <c r="Z252" s="32"/>
      <c r="AA252" s="32"/>
    </row>
    <row r="253" spans="24:27" x14ac:dyDescent="0.25">
      <c r="X253" s="32"/>
      <c r="Y253" s="32"/>
      <c r="Z253" s="32"/>
      <c r="AA253" s="32"/>
    </row>
    <row r="254" spans="24:27" x14ac:dyDescent="0.25">
      <c r="X254" s="32"/>
      <c r="Y254" s="32"/>
      <c r="Z254" s="32"/>
      <c r="AA254" s="32"/>
    </row>
    <row r="255" spans="24:27" x14ac:dyDescent="0.25">
      <c r="X255" s="32"/>
      <c r="Y255" s="32"/>
      <c r="Z255" s="32"/>
      <c r="AA255" s="32"/>
    </row>
    <row r="256" spans="24:27" x14ac:dyDescent="0.25">
      <c r="X256" s="32"/>
      <c r="Y256" s="32"/>
      <c r="Z256" s="32"/>
      <c r="AA256" s="43"/>
    </row>
    <row r="257" spans="24:27" x14ac:dyDescent="0.25">
      <c r="X257" s="32"/>
      <c r="Y257" s="32"/>
      <c r="Z257" s="32"/>
      <c r="AA257" s="43"/>
    </row>
    <row r="258" spans="24:27" x14ac:dyDescent="0.25">
      <c r="X258" s="32"/>
      <c r="Y258" s="32"/>
      <c r="Z258" s="32"/>
      <c r="AA258" s="43"/>
    </row>
    <row r="259" spans="24:27" x14ac:dyDescent="0.25">
      <c r="X259" s="32"/>
      <c r="Y259" s="32"/>
      <c r="Z259" s="32"/>
      <c r="AA259" s="43"/>
    </row>
    <row r="260" spans="24:27" x14ac:dyDescent="0.25">
      <c r="X260" s="32"/>
      <c r="Y260" s="32"/>
      <c r="Z260" s="32"/>
      <c r="AA260" s="43"/>
    </row>
    <row r="261" spans="24:27" x14ac:dyDescent="0.25">
      <c r="X261" s="32"/>
      <c r="Y261" s="32"/>
      <c r="Z261" s="32"/>
      <c r="AA261" s="43"/>
    </row>
    <row r="262" spans="24:27" x14ac:dyDescent="0.25">
      <c r="X262" s="32"/>
      <c r="Y262" s="32"/>
      <c r="Z262" s="32"/>
      <c r="AA262" s="43"/>
    </row>
    <row r="263" spans="24:27" x14ac:dyDescent="0.25">
      <c r="X263" s="32"/>
      <c r="Y263" s="32"/>
      <c r="Z263" s="32"/>
      <c r="AA263" s="43"/>
    </row>
    <row r="264" spans="24:27" x14ac:dyDescent="0.25">
      <c r="X264" s="32"/>
      <c r="Y264" s="32"/>
      <c r="Z264" s="32"/>
      <c r="AA264" s="43"/>
    </row>
    <row r="265" spans="24:27" x14ac:dyDescent="0.25">
      <c r="X265" s="32"/>
      <c r="Y265" s="32"/>
      <c r="Z265" s="32"/>
      <c r="AA265" s="43"/>
    </row>
    <row r="266" spans="24:27" x14ac:dyDescent="0.25">
      <c r="X266" s="32"/>
      <c r="Y266" s="32"/>
      <c r="Z266" s="32"/>
      <c r="AA266" s="43"/>
    </row>
    <row r="267" spans="24:27" x14ac:dyDescent="0.25">
      <c r="X267" s="32"/>
      <c r="Y267" s="32"/>
      <c r="Z267" s="32"/>
      <c r="AA267" s="43"/>
    </row>
    <row r="268" spans="24:27" x14ac:dyDescent="0.25">
      <c r="X268" s="32"/>
      <c r="Y268" s="32"/>
      <c r="Z268" s="32"/>
      <c r="AA268" s="43"/>
    </row>
    <row r="269" spans="24:27" x14ac:dyDescent="0.25">
      <c r="X269" s="32"/>
      <c r="Y269" s="32"/>
      <c r="Z269" s="32"/>
      <c r="AA269" s="43"/>
    </row>
    <row r="270" spans="24:27" x14ac:dyDescent="0.25">
      <c r="X270" s="32"/>
      <c r="Y270" s="32"/>
      <c r="Z270" s="32"/>
      <c r="AA270" s="43"/>
    </row>
    <row r="271" spans="24:27" x14ac:dyDescent="0.25">
      <c r="X271" s="32"/>
      <c r="Y271" s="32"/>
      <c r="Z271" s="32"/>
      <c r="AA271" s="43"/>
    </row>
    <row r="272" spans="24:27" x14ac:dyDescent="0.25">
      <c r="X272" s="32"/>
      <c r="Y272" s="32"/>
      <c r="Z272" s="32"/>
      <c r="AA272" s="43"/>
    </row>
    <row r="273" spans="24:27" x14ac:dyDescent="0.25">
      <c r="X273" s="32"/>
      <c r="Y273" s="32"/>
      <c r="Z273" s="32"/>
      <c r="AA273" s="43"/>
    </row>
    <row r="274" spans="24:27" x14ac:dyDescent="0.25">
      <c r="X274" s="32"/>
      <c r="Y274" s="32"/>
      <c r="Z274" s="32"/>
      <c r="AA274" s="43"/>
    </row>
    <row r="275" spans="24:27" x14ac:dyDescent="0.25">
      <c r="X275" s="32"/>
      <c r="Y275" s="32"/>
      <c r="Z275" s="32"/>
      <c r="AA275" s="43"/>
    </row>
    <row r="276" spans="24:27" x14ac:dyDescent="0.25">
      <c r="X276" s="32"/>
      <c r="Y276" s="32"/>
      <c r="Z276" s="32"/>
      <c r="AA276" s="43"/>
    </row>
    <row r="277" spans="24:27" x14ac:dyDescent="0.25">
      <c r="X277" s="32"/>
      <c r="Y277" s="32"/>
      <c r="Z277" s="32"/>
      <c r="AA277" s="43"/>
    </row>
    <row r="278" spans="24:27" x14ac:dyDescent="0.25">
      <c r="X278" s="32"/>
      <c r="Y278" s="32"/>
      <c r="Z278" s="32"/>
      <c r="AA278" s="43"/>
    </row>
    <row r="279" spans="24:27" x14ac:dyDescent="0.25">
      <c r="X279" s="32"/>
      <c r="Y279" s="32"/>
      <c r="Z279" s="32"/>
      <c r="AA279" s="43"/>
    </row>
    <row r="280" spans="24:27" x14ac:dyDescent="0.25">
      <c r="X280" s="32"/>
      <c r="Y280" s="32"/>
      <c r="Z280" s="32"/>
      <c r="AA280" s="43"/>
    </row>
    <row r="281" spans="24:27" x14ac:dyDescent="0.25">
      <c r="X281" s="32"/>
      <c r="Y281" s="32"/>
      <c r="Z281" s="32"/>
      <c r="AA281" s="43"/>
    </row>
    <row r="282" spans="24:27" x14ac:dyDescent="0.25">
      <c r="X282" s="32"/>
      <c r="Y282" s="32"/>
      <c r="Z282" s="32"/>
      <c r="AA282" s="43"/>
    </row>
    <row r="283" spans="24:27" x14ac:dyDescent="0.25">
      <c r="X283" s="32"/>
      <c r="Y283" s="32"/>
      <c r="Z283" s="32"/>
      <c r="AA283" s="43"/>
    </row>
    <row r="284" spans="24:27" x14ac:dyDescent="0.25">
      <c r="X284" s="32"/>
      <c r="Y284" s="32"/>
      <c r="Z284" s="32"/>
      <c r="AA284" s="43"/>
    </row>
    <row r="285" spans="24:27" x14ac:dyDescent="0.25">
      <c r="X285" s="32"/>
      <c r="Y285" s="32"/>
      <c r="Z285" s="32"/>
      <c r="AA285" s="43"/>
    </row>
    <row r="286" spans="24:27" x14ac:dyDescent="0.25">
      <c r="X286" s="32"/>
      <c r="Y286" s="32"/>
      <c r="Z286" s="32"/>
      <c r="AA286" s="43"/>
    </row>
    <row r="287" spans="24:27" x14ac:dyDescent="0.25">
      <c r="X287" s="32"/>
      <c r="Y287" s="32"/>
      <c r="Z287" s="32"/>
      <c r="AA287" s="43"/>
    </row>
    <row r="288" spans="24:27" x14ac:dyDescent="0.25">
      <c r="X288" s="32"/>
      <c r="Y288" s="32"/>
      <c r="Z288" s="32"/>
      <c r="AA288" s="43"/>
    </row>
    <row r="289" spans="24:27" x14ac:dyDescent="0.25">
      <c r="X289" s="32"/>
      <c r="Y289" s="32"/>
      <c r="Z289" s="32"/>
      <c r="AA289" s="43"/>
    </row>
    <row r="290" spans="24:27" x14ac:dyDescent="0.25">
      <c r="X290" s="32"/>
      <c r="Y290" s="32"/>
      <c r="Z290" s="32"/>
      <c r="AA290" s="43"/>
    </row>
    <row r="291" spans="24:27" x14ac:dyDescent="0.25">
      <c r="X291" s="32"/>
      <c r="Y291" s="32"/>
      <c r="Z291" s="32"/>
      <c r="AA291" s="43"/>
    </row>
    <row r="292" spans="24:27" x14ac:dyDescent="0.25">
      <c r="X292" s="32"/>
      <c r="Y292" s="32"/>
      <c r="Z292" s="32"/>
      <c r="AA292" s="32"/>
    </row>
    <row r="293" spans="24:27" x14ac:dyDescent="0.25">
      <c r="X293" s="32"/>
      <c r="Y293" s="32"/>
      <c r="Z293" s="32"/>
      <c r="AA293" s="32"/>
    </row>
    <row r="294" spans="24:27" x14ac:dyDescent="0.25">
      <c r="X294" s="32"/>
      <c r="Y294" s="32"/>
      <c r="Z294" s="32"/>
      <c r="AA294" s="32"/>
    </row>
    <row r="295" spans="24:27" x14ac:dyDescent="0.25">
      <c r="X295" s="32"/>
      <c r="Y295" s="32"/>
      <c r="Z295" s="32"/>
      <c r="AA295" s="32"/>
    </row>
    <row r="296" spans="24:27" x14ac:dyDescent="0.25">
      <c r="X296" s="32"/>
      <c r="Y296" s="32"/>
      <c r="Z296" s="32"/>
      <c r="AA296" s="32"/>
    </row>
    <row r="297" spans="24:27" x14ac:dyDescent="0.25">
      <c r="X297" s="32"/>
      <c r="Y297" s="32"/>
      <c r="Z297" s="32"/>
      <c r="AA297" s="32"/>
    </row>
    <row r="298" spans="24:27" x14ac:dyDescent="0.25">
      <c r="X298" s="32"/>
      <c r="Y298" s="32"/>
      <c r="Z298" s="32"/>
      <c r="AA298" s="32"/>
    </row>
    <row r="299" spans="24:27" x14ac:dyDescent="0.25">
      <c r="X299" s="32"/>
      <c r="Y299" s="32"/>
      <c r="Z299" s="32"/>
      <c r="AA299" s="32"/>
    </row>
    <row r="300" spans="24:27" x14ac:dyDescent="0.25">
      <c r="X300" s="32"/>
      <c r="Y300" s="32"/>
      <c r="Z300" s="32"/>
      <c r="AA300" s="43"/>
    </row>
    <row r="301" spans="24:27" x14ac:dyDescent="0.25">
      <c r="X301" s="32"/>
      <c r="Y301" s="32"/>
      <c r="Z301" s="32"/>
      <c r="AA301" s="43"/>
    </row>
    <row r="302" spans="24:27" x14ac:dyDescent="0.25">
      <c r="X302" s="32"/>
      <c r="Y302" s="32"/>
      <c r="Z302" s="32"/>
      <c r="AA302" s="43"/>
    </row>
    <row r="303" spans="24:27" x14ac:dyDescent="0.25">
      <c r="X303" s="32"/>
      <c r="Y303" s="32"/>
      <c r="Z303" s="32"/>
      <c r="AA303" s="43"/>
    </row>
    <row r="304" spans="24:27" x14ac:dyDescent="0.25">
      <c r="X304" s="32"/>
      <c r="Y304" s="32"/>
      <c r="Z304" s="32"/>
      <c r="AA304" s="43"/>
    </row>
    <row r="305" spans="24:27" x14ac:dyDescent="0.25">
      <c r="X305" s="32"/>
      <c r="Y305" s="32"/>
      <c r="Z305" s="32"/>
      <c r="AA305" s="43"/>
    </row>
    <row r="306" spans="24:27" x14ac:dyDescent="0.25">
      <c r="X306" s="32"/>
      <c r="Y306" s="32"/>
      <c r="Z306" s="32"/>
      <c r="AA306" s="43"/>
    </row>
    <row r="307" spans="24:27" x14ac:dyDescent="0.25">
      <c r="X307" s="32"/>
      <c r="Y307" s="32"/>
      <c r="Z307" s="32"/>
      <c r="AA307" s="43"/>
    </row>
    <row r="308" spans="24:27" x14ac:dyDescent="0.25">
      <c r="X308" s="32"/>
      <c r="Y308" s="32"/>
      <c r="Z308" s="32"/>
      <c r="AA308" s="43"/>
    </row>
    <row r="309" spans="24:27" x14ac:dyDescent="0.25">
      <c r="X309" s="32"/>
      <c r="Y309" s="32"/>
      <c r="Z309" s="32"/>
      <c r="AA309" s="43"/>
    </row>
    <row r="310" spans="24:27" x14ac:dyDescent="0.25">
      <c r="X310" s="32"/>
      <c r="Y310" s="32"/>
      <c r="Z310" s="32"/>
      <c r="AA310" s="43"/>
    </row>
    <row r="311" spans="24:27" x14ac:dyDescent="0.25">
      <c r="X311" s="32"/>
      <c r="Y311" s="32"/>
      <c r="Z311" s="32"/>
      <c r="AA311" s="43"/>
    </row>
    <row r="312" spans="24:27" x14ac:dyDescent="0.25">
      <c r="X312" s="32"/>
      <c r="Y312" s="32"/>
      <c r="Z312" s="32"/>
      <c r="AA312" s="43"/>
    </row>
    <row r="313" spans="24:27" x14ac:dyDescent="0.25">
      <c r="X313" s="32"/>
      <c r="Y313" s="32"/>
      <c r="Z313" s="32"/>
      <c r="AA313" s="43"/>
    </row>
    <row r="314" spans="24:27" x14ac:dyDescent="0.25">
      <c r="X314" s="32"/>
      <c r="Y314" s="32"/>
      <c r="Z314" s="32"/>
      <c r="AA314" s="43"/>
    </row>
    <row r="315" spans="24:27" x14ac:dyDescent="0.25">
      <c r="X315" s="32"/>
      <c r="Y315" s="32"/>
      <c r="Z315" s="32"/>
      <c r="AA315" s="43"/>
    </row>
    <row r="316" spans="24:27" x14ac:dyDescent="0.25">
      <c r="X316" s="32"/>
      <c r="Y316" s="32"/>
      <c r="Z316" s="32"/>
      <c r="AA316" s="43"/>
    </row>
    <row r="317" spans="24:27" x14ac:dyDescent="0.25">
      <c r="X317" s="32"/>
      <c r="Y317" s="32"/>
      <c r="Z317" s="32"/>
      <c r="AA317" s="43"/>
    </row>
    <row r="318" spans="24:27" x14ac:dyDescent="0.25">
      <c r="X318" s="32"/>
      <c r="Y318" s="32"/>
      <c r="Z318" s="32"/>
      <c r="AA318" s="43"/>
    </row>
    <row r="319" spans="24:27" x14ac:dyDescent="0.25">
      <c r="X319" s="32"/>
      <c r="Y319" s="32"/>
      <c r="Z319" s="32"/>
      <c r="AA319" s="43"/>
    </row>
    <row r="320" spans="24:27" x14ac:dyDescent="0.25">
      <c r="X320" s="32"/>
      <c r="Y320" s="32"/>
      <c r="Z320" s="32"/>
      <c r="AA320" s="43"/>
    </row>
    <row r="321" spans="24:27" x14ac:dyDescent="0.25">
      <c r="X321" s="32"/>
      <c r="Y321" s="32"/>
      <c r="Z321" s="32"/>
      <c r="AA321" s="43"/>
    </row>
    <row r="322" spans="24:27" x14ac:dyDescent="0.25">
      <c r="X322" s="32"/>
      <c r="Y322" s="32"/>
      <c r="Z322" s="32"/>
      <c r="AA322" s="43"/>
    </row>
    <row r="323" spans="24:27" x14ac:dyDescent="0.25">
      <c r="X323" s="32"/>
      <c r="Y323" s="32"/>
      <c r="Z323" s="32"/>
      <c r="AA323" s="43"/>
    </row>
    <row r="324" spans="24:27" x14ac:dyDescent="0.25">
      <c r="X324" s="32"/>
      <c r="Y324" s="32"/>
      <c r="Z324" s="32"/>
      <c r="AA324" s="43"/>
    </row>
    <row r="325" spans="24:27" x14ac:dyDescent="0.25">
      <c r="X325" s="32"/>
      <c r="Y325" s="32"/>
      <c r="Z325" s="32"/>
      <c r="AA325" s="43"/>
    </row>
    <row r="326" spans="24:27" x14ac:dyDescent="0.25">
      <c r="X326" s="32"/>
      <c r="Y326" s="32"/>
      <c r="Z326" s="32"/>
      <c r="AA326" s="43"/>
    </row>
    <row r="327" spans="24:27" x14ac:dyDescent="0.25">
      <c r="X327" s="32"/>
      <c r="Y327" s="32"/>
      <c r="Z327" s="32"/>
      <c r="AA327" s="43"/>
    </row>
    <row r="328" spans="24:27" x14ac:dyDescent="0.25">
      <c r="X328" s="32"/>
      <c r="Y328" s="32"/>
      <c r="Z328" s="32"/>
      <c r="AA328" s="43"/>
    </row>
    <row r="329" spans="24:27" x14ac:dyDescent="0.25">
      <c r="X329" s="32"/>
      <c r="Y329" s="32"/>
      <c r="Z329" s="32"/>
      <c r="AA329" s="43"/>
    </row>
    <row r="330" spans="24:27" x14ac:dyDescent="0.25">
      <c r="X330" s="32"/>
      <c r="Y330" s="32"/>
      <c r="Z330" s="32"/>
      <c r="AA330" s="43"/>
    </row>
    <row r="331" spans="24:27" x14ac:dyDescent="0.25">
      <c r="X331" s="32"/>
      <c r="Y331" s="32"/>
      <c r="Z331" s="32"/>
      <c r="AA331" s="43"/>
    </row>
    <row r="332" spans="24:27" x14ac:dyDescent="0.25">
      <c r="X332" s="32"/>
      <c r="Y332" s="32"/>
      <c r="Z332" s="32"/>
      <c r="AA332" s="43"/>
    </row>
    <row r="333" spans="24:27" x14ac:dyDescent="0.25">
      <c r="X333" s="32"/>
      <c r="Y333" s="32"/>
      <c r="Z333" s="32"/>
      <c r="AA333" s="43"/>
    </row>
    <row r="334" spans="24:27" x14ac:dyDescent="0.25">
      <c r="X334" s="32"/>
      <c r="Y334" s="32"/>
      <c r="Z334" s="32"/>
      <c r="AA334" s="43"/>
    </row>
    <row r="335" spans="24:27" x14ac:dyDescent="0.25">
      <c r="X335" s="32"/>
      <c r="Y335" s="32"/>
      <c r="Z335" s="32"/>
      <c r="AA335" s="43"/>
    </row>
    <row r="336" spans="24:27" x14ac:dyDescent="0.25">
      <c r="X336" s="32"/>
      <c r="Y336" s="32"/>
      <c r="Z336" s="32"/>
      <c r="AA336" s="43"/>
    </row>
    <row r="337" spans="24:27" x14ac:dyDescent="0.25">
      <c r="X337" s="32"/>
      <c r="Y337" s="32"/>
      <c r="Z337" s="32"/>
      <c r="AA337" s="43"/>
    </row>
    <row r="338" spans="24:27" x14ac:dyDescent="0.25">
      <c r="X338" s="32"/>
      <c r="Y338" s="32"/>
      <c r="Z338" s="32"/>
      <c r="AA338" s="43"/>
    </row>
    <row r="339" spans="24:27" x14ac:dyDescent="0.25">
      <c r="X339" s="32"/>
      <c r="Y339" s="32"/>
      <c r="Z339" s="32"/>
      <c r="AA339" s="43"/>
    </row>
    <row r="340" spans="24:27" x14ac:dyDescent="0.25">
      <c r="X340" s="32"/>
      <c r="Y340" s="32"/>
      <c r="Z340" s="32"/>
      <c r="AA340" s="32"/>
    </row>
    <row r="341" spans="24:27" x14ac:dyDescent="0.25">
      <c r="X341" s="32"/>
      <c r="Y341" s="32"/>
      <c r="Z341" s="32"/>
      <c r="AA341" s="32"/>
    </row>
    <row r="342" spans="24:27" x14ac:dyDescent="0.25">
      <c r="X342" s="32"/>
      <c r="Y342" s="32"/>
      <c r="Z342" s="32"/>
      <c r="AA342" s="32"/>
    </row>
    <row r="343" spans="24:27" x14ac:dyDescent="0.25">
      <c r="X343" s="32"/>
      <c r="Y343" s="32"/>
      <c r="Z343" s="32"/>
      <c r="AA343" s="32"/>
    </row>
    <row r="344" spans="24:27" x14ac:dyDescent="0.25">
      <c r="X344" s="32"/>
      <c r="Y344" s="32"/>
      <c r="Z344" s="32"/>
      <c r="AA344" s="43"/>
    </row>
    <row r="345" spans="24:27" x14ac:dyDescent="0.25">
      <c r="X345" s="32"/>
      <c r="Y345" s="32"/>
      <c r="Z345" s="32"/>
      <c r="AA345" s="43"/>
    </row>
    <row r="346" spans="24:27" x14ac:dyDescent="0.25">
      <c r="X346" s="32"/>
      <c r="Y346" s="32"/>
      <c r="Z346" s="32"/>
      <c r="AA346" s="43"/>
    </row>
    <row r="347" spans="24:27" x14ac:dyDescent="0.25">
      <c r="X347" s="32"/>
      <c r="Y347" s="32"/>
      <c r="Z347" s="32"/>
      <c r="AA347" s="43"/>
    </row>
    <row r="348" spans="24:27" x14ac:dyDescent="0.25">
      <c r="X348" s="32"/>
      <c r="Y348" s="32"/>
      <c r="Z348" s="32"/>
      <c r="AA348" s="43"/>
    </row>
    <row r="349" spans="24:27" x14ac:dyDescent="0.25">
      <c r="X349" s="32"/>
      <c r="Y349" s="32"/>
      <c r="Z349" s="32"/>
      <c r="AA349" s="43"/>
    </row>
    <row r="350" spans="24:27" x14ac:dyDescent="0.25">
      <c r="X350" s="32"/>
      <c r="Y350" s="32"/>
      <c r="Z350" s="32"/>
      <c r="AA350" s="43"/>
    </row>
    <row r="351" spans="24:27" x14ac:dyDescent="0.25">
      <c r="X351" s="32"/>
      <c r="Y351" s="32"/>
      <c r="Z351" s="32"/>
      <c r="AA351" s="43"/>
    </row>
    <row r="352" spans="24:27" x14ac:dyDescent="0.25">
      <c r="X352" s="32"/>
      <c r="Y352" s="32"/>
      <c r="Z352" s="32"/>
      <c r="AA352" s="43"/>
    </row>
    <row r="353" spans="24:27" x14ac:dyDescent="0.25">
      <c r="X353" s="32"/>
      <c r="Y353" s="32"/>
      <c r="Z353" s="32"/>
      <c r="AA353" s="43"/>
    </row>
    <row r="354" spans="24:27" x14ac:dyDescent="0.25">
      <c r="X354" s="32"/>
      <c r="Y354" s="32"/>
      <c r="Z354" s="32"/>
      <c r="AA354" s="43"/>
    </row>
    <row r="355" spans="24:27" x14ac:dyDescent="0.25">
      <c r="X355" s="32"/>
      <c r="Y355" s="32"/>
      <c r="Z355" s="32"/>
      <c r="AA355" s="43"/>
    </row>
    <row r="356" spans="24:27" x14ac:dyDescent="0.25">
      <c r="X356" s="32"/>
      <c r="Y356" s="32"/>
      <c r="Z356" s="32"/>
      <c r="AA356" s="43"/>
    </row>
    <row r="357" spans="24:27" x14ac:dyDescent="0.25">
      <c r="X357" s="32"/>
      <c r="Y357" s="32"/>
      <c r="Z357" s="32"/>
      <c r="AA357" s="43"/>
    </row>
    <row r="358" spans="24:27" x14ac:dyDescent="0.25">
      <c r="X358" s="32"/>
      <c r="Y358" s="32"/>
      <c r="Z358" s="32"/>
      <c r="AA358" s="43"/>
    </row>
    <row r="359" spans="24:27" x14ac:dyDescent="0.25">
      <c r="X359" s="32"/>
      <c r="Y359" s="32"/>
      <c r="Z359" s="32"/>
      <c r="AA359" s="43"/>
    </row>
    <row r="360" spans="24:27" x14ac:dyDescent="0.25">
      <c r="X360" s="32"/>
      <c r="Y360" s="32"/>
      <c r="Z360" s="32"/>
      <c r="AA360" s="43"/>
    </row>
    <row r="361" spans="24:27" x14ac:dyDescent="0.25">
      <c r="X361" s="32"/>
      <c r="Y361" s="32"/>
      <c r="Z361" s="32"/>
      <c r="AA361" s="43"/>
    </row>
    <row r="362" spans="24:27" x14ac:dyDescent="0.25">
      <c r="X362" s="32"/>
      <c r="Y362" s="32"/>
      <c r="Z362" s="32"/>
      <c r="AA362" s="43"/>
    </row>
    <row r="363" spans="24:27" x14ac:dyDescent="0.25">
      <c r="X363" s="32"/>
      <c r="Y363" s="32"/>
      <c r="Z363" s="32"/>
      <c r="AA363" s="43"/>
    </row>
    <row r="364" spans="24:27" x14ac:dyDescent="0.25">
      <c r="X364" s="32"/>
      <c r="Y364" s="32"/>
      <c r="Z364" s="32"/>
      <c r="AA364" s="43"/>
    </row>
    <row r="365" spans="24:27" x14ac:dyDescent="0.25">
      <c r="X365" s="32"/>
      <c r="Y365" s="32"/>
      <c r="Z365" s="32"/>
      <c r="AA365" s="43"/>
    </row>
    <row r="366" spans="24:27" x14ac:dyDescent="0.25">
      <c r="X366" s="32"/>
      <c r="Y366" s="32"/>
      <c r="Z366" s="32"/>
      <c r="AA366" s="43"/>
    </row>
    <row r="367" spans="24:27" x14ac:dyDescent="0.25">
      <c r="X367" s="32"/>
      <c r="Y367" s="32"/>
      <c r="Z367" s="32"/>
      <c r="AA367" s="43"/>
    </row>
    <row r="368" spans="24:27" x14ac:dyDescent="0.25">
      <c r="X368" s="32"/>
      <c r="Y368" s="32"/>
      <c r="Z368" s="32"/>
      <c r="AA368" s="43"/>
    </row>
    <row r="369" spans="24:27" x14ac:dyDescent="0.25">
      <c r="X369" s="32"/>
      <c r="Y369" s="32"/>
      <c r="Z369" s="32"/>
      <c r="AA369" s="43"/>
    </row>
    <row r="370" spans="24:27" x14ac:dyDescent="0.25">
      <c r="X370" s="32"/>
      <c r="Y370" s="32"/>
      <c r="Z370" s="32"/>
      <c r="AA370" s="43"/>
    </row>
    <row r="371" spans="24:27" x14ac:dyDescent="0.25">
      <c r="X371" s="32"/>
      <c r="Y371" s="32"/>
      <c r="Z371" s="32"/>
      <c r="AA371" s="43"/>
    </row>
    <row r="372" spans="24:27" x14ac:dyDescent="0.25">
      <c r="X372" s="32"/>
      <c r="Y372" s="32"/>
      <c r="Z372" s="32"/>
      <c r="AA372" s="43"/>
    </row>
    <row r="373" spans="24:27" x14ac:dyDescent="0.25">
      <c r="X373" s="32"/>
      <c r="Y373" s="32"/>
      <c r="Z373" s="32"/>
      <c r="AA373" s="43"/>
    </row>
    <row r="374" spans="24:27" x14ac:dyDescent="0.25">
      <c r="X374" s="32"/>
      <c r="Y374" s="32"/>
      <c r="Z374" s="32"/>
      <c r="AA374" s="43"/>
    </row>
    <row r="375" spans="24:27" x14ac:dyDescent="0.25">
      <c r="X375" s="32"/>
      <c r="Y375" s="32"/>
      <c r="Z375" s="32"/>
      <c r="AA375" s="43"/>
    </row>
    <row r="376" spans="24:27" x14ac:dyDescent="0.25">
      <c r="X376" s="32"/>
      <c r="Y376" s="32"/>
      <c r="Z376" s="32"/>
      <c r="AA376" s="43"/>
    </row>
    <row r="377" spans="24:27" x14ac:dyDescent="0.25">
      <c r="X377" s="32"/>
      <c r="Y377" s="32"/>
      <c r="Z377" s="32"/>
      <c r="AA377" s="43"/>
    </row>
    <row r="378" spans="24:27" x14ac:dyDescent="0.25">
      <c r="X378" s="32"/>
      <c r="Y378" s="32"/>
      <c r="Z378" s="32"/>
      <c r="AA378" s="43"/>
    </row>
    <row r="379" spans="24:27" x14ac:dyDescent="0.25">
      <c r="X379" s="32"/>
      <c r="Y379" s="32"/>
      <c r="Z379" s="32"/>
      <c r="AA379" s="43"/>
    </row>
    <row r="380" spans="24:27" x14ac:dyDescent="0.25">
      <c r="X380" s="32"/>
      <c r="Y380" s="32"/>
      <c r="Z380" s="32"/>
      <c r="AA380" s="43"/>
    </row>
    <row r="381" spans="24:27" x14ac:dyDescent="0.25">
      <c r="X381" s="32"/>
      <c r="Y381" s="32"/>
      <c r="Z381" s="32"/>
      <c r="AA381" s="43"/>
    </row>
    <row r="382" spans="24:27" x14ac:dyDescent="0.25">
      <c r="X382" s="32"/>
      <c r="Y382" s="32"/>
      <c r="Z382" s="32"/>
      <c r="AA382" s="43"/>
    </row>
    <row r="383" spans="24:27" x14ac:dyDescent="0.25">
      <c r="X383" s="32"/>
      <c r="Y383" s="32"/>
      <c r="Z383" s="32"/>
      <c r="AA383" s="43"/>
    </row>
    <row r="384" spans="24:27" x14ac:dyDescent="0.25">
      <c r="X384" s="32"/>
      <c r="Y384" s="32"/>
      <c r="Z384" s="32"/>
      <c r="AA384" s="43"/>
    </row>
    <row r="385" spans="24:27" x14ac:dyDescent="0.25">
      <c r="X385" s="32"/>
      <c r="Y385" s="32"/>
      <c r="Z385" s="32"/>
      <c r="AA385" s="43"/>
    </row>
    <row r="386" spans="24:27" x14ac:dyDescent="0.25">
      <c r="X386" s="32"/>
      <c r="Y386" s="32"/>
      <c r="Z386" s="32"/>
      <c r="AA386" s="43"/>
    </row>
    <row r="387" spans="24:27" x14ac:dyDescent="0.25">
      <c r="X387" s="32"/>
      <c r="Y387" s="32"/>
      <c r="Z387" s="32"/>
      <c r="AA387" s="43"/>
    </row>
  </sheetData>
  <sheetProtection algorithmName="SHA-512" hashValue="0A78S6IERcY+sPS3mbLSYqbiB8syu9PS0d/3WqRXlOk1dm2sUkGHT57OztYwulGSkxYcUD9KN7NCDubmi/FG5A==" saltValue="aE6w3WEEeAfAEtLVe5IN2w==" spinCount="100000" sheet="1" objects="1" scenarios="1"/>
  <protectedRanges>
    <protectedRange algorithmName="SHA-512" hashValue="s4HGwFd6NsjszQCBjD8Z87kO8fkiNMhZB67jA27Vvvi4TAmRxxhO/0rp9m2sNJaFxpG08BFQ7b6WxkcdwgQeiw==" saltValue="2r8mnxRuITJ+DV9HbT90MA==" spinCount="100000" sqref="H4:H19" name="Costos de fabricar"/>
  </protectedRanges>
  <mergeCells count="10">
    <mergeCell ref="AK10:AL10"/>
    <mergeCell ref="AK2:AL2"/>
    <mergeCell ref="A2:D2"/>
    <mergeCell ref="AC2:AE2"/>
    <mergeCell ref="AG2:AI2"/>
    <mergeCell ref="F2:H2"/>
    <mergeCell ref="J2:L2"/>
    <mergeCell ref="N2:Q2"/>
    <mergeCell ref="X2:AA2"/>
    <mergeCell ref="T2:V2"/>
  </mergeCells>
  <phoneticPr fontId="6" type="noConversion"/>
  <dataValidations count="2">
    <dataValidation type="whole" operator="greaterThanOrEqual" allowBlank="1" showInputMessage="1" showErrorMessage="1" sqref="D4:D35 H4:H19 AO2 AL4:AL7 AI4:AI11 L4:L19" xr:uid="{0F803728-884C-4A20-A07C-109E0C3C2645}">
      <formula1>0</formula1>
    </dataValidation>
    <dataValidation operator="greaterThanOrEqual" allowBlank="1" showInputMessage="1" showErrorMessage="1" sqref="AO4" xr:uid="{1994B2A2-A1F7-4543-9BC2-EE3D945B6070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02804-CCA2-4B61-BB3D-65A94ED4D878}">
  <sheetPr codeName="Hoja7"/>
  <dimension ref="C3:Q19"/>
  <sheetViews>
    <sheetView workbookViewId="0">
      <selection activeCell="M9" sqref="M9"/>
    </sheetView>
  </sheetViews>
  <sheetFormatPr baseColWidth="10" defaultRowHeight="15" x14ac:dyDescent="0.25"/>
  <cols>
    <col min="1" max="1" width="11.42578125" style="28"/>
    <col min="2" max="2" width="7.28515625" style="28" bestFit="1" customWidth="1"/>
    <col min="3" max="3" width="15.7109375" style="28" bestFit="1" customWidth="1"/>
    <col min="4" max="4" width="13.42578125" style="28" bestFit="1" customWidth="1"/>
    <col min="5" max="5" width="13.7109375" style="28" bestFit="1" customWidth="1"/>
    <col min="6" max="6" width="7.28515625" style="28" bestFit="1" customWidth="1"/>
    <col min="7" max="7" width="9" style="28" bestFit="1" customWidth="1"/>
    <col min="8" max="9" width="13.140625" style="28" bestFit="1" customWidth="1"/>
    <col min="10" max="10" width="15" style="28" bestFit="1" customWidth="1"/>
    <col min="11" max="11" width="22" style="28" bestFit="1" customWidth="1"/>
    <col min="12" max="12" width="11.42578125" style="28"/>
    <col min="13" max="13" width="24.140625" style="28" bestFit="1" customWidth="1"/>
    <col min="14" max="14" width="14.42578125" style="28" bestFit="1" customWidth="1"/>
    <col min="15" max="15" width="17.28515625" style="28" bestFit="1" customWidth="1"/>
    <col min="16" max="16" width="13.7109375" style="28" bestFit="1" customWidth="1"/>
    <col min="17" max="17" width="14" style="28" bestFit="1" customWidth="1"/>
    <col min="18" max="16384" width="11.42578125" style="28"/>
  </cols>
  <sheetData>
    <row r="3" spans="3:17" x14ac:dyDescent="0.25">
      <c r="C3" s="29" t="s">
        <v>91</v>
      </c>
      <c r="D3" s="29" t="s">
        <v>88</v>
      </c>
      <c r="F3" s="29" t="s">
        <v>73</v>
      </c>
      <c r="G3" s="29" t="s">
        <v>87</v>
      </c>
      <c r="H3" s="29" t="s">
        <v>92</v>
      </c>
      <c r="I3" s="29" t="s">
        <v>89</v>
      </c>
      <c r="J3" s="29" t="s">
        <v>72</v>
      </c>
      <c r="K3" s="29" t="s">
        <v>90</v>
      </c>
      <c r="M3" s="29" t="s">
        <v>75</v>
      </c>
      <c r="N3" s="29" t="s">
        <v>79</v>
      </c>
      <c r="O3" s="29" t="s">
        <v>93</v>
      </c>
      <c r="P3" s="29" t="s">
        <v>80</v>
      </c>
      <c r="Q3" s="29" t="s">
        <v>81</v>
      </c>
    </row>
    <row r="4" spans="3:17" x14ac:dyDescent="0.25">
      <c r="C4" s="29" t="str">
        <f>CONCATENATE("F",'Parametros de entrada'!B4,"P",'Parametros de entrada'!A4)</f>
        <v>F1P1</v>
      </c>
      <c r="D4" s="30">
        <f>'Parametros de entrada'!D4</f>
        <v>3</v>
      </c>
      <c r="F4" s="29">
        <v>1</v>
      </c>
      <c r="G4" s="29">
        <v>1</v>
      </c>
      <c r="H4" s="29">
        <f>VLOOKUP(CONCATENATE("F",F4,"P",G4),$C$4:$D$19,2,FALSE)</f>
        <v>3</v>
      </c>
      <c r="I4" s="30">
        <f>'Parametros de entrada'!H4</f>
        <v>50</v>
      </c>
      <c r="J4" s="31">
        <f>VLOOKUP(F4,'Parametros de entrada'!$AK$12:$AL$15,2,FALSE)</f>
        <v>0.1</v>
      </c>
      <c r="K4" s="30">
        <f>(H4+I4)*J4</f>
        <v>5.3000000000000007</v>
      </c>
      <c r="M4" s="29" t="s">
        <v>76</v>
      </c>
      <c r="N4" s="30" t="str">
        <f>CONCATENATE("F",IF(N9=$K$4,$F$4,IF(N9=$K$5,$F$5,IF(N9=$K$6,$F$6,$F$7))))</f>
        <v>F1</v>
      </c>
      <c r="O4" s="30" t="str">
        <f t="shared" ref="O4:Q4" si="0">CONCATENATE("F",IF(O9=$K$4,$F$4,IF(O9=$K$5,$F$5,IF(O9=$K$6,$F$6,$F$7))))</f>
        <v>F2</v>
      </c>
      <c r="P4" s="30" t="str">
        <f t="shared" si="0"/>
        <v>F4</v>
      </c>
      <c r="Q4" s="30" t="str">
        <f t="shared" si="0"/>
        <v>F3</v>
      </c>
    </row>
    <row r="5" spans="3:17" x14ac:dyDescent="0.25">
      <c r="C5" s="29" t="str">
        <f>CONCATENATE("F",'Parametros de entrada'!B5,"P",'Parametros de entrada'!A5)</f>
        <v>F1P2</v>
      </c>
      <c r="D5" s="30">
        <f>'Parametros de entrada'!D5</f>
        <v>4</v>
      </c>
      <c r="F5" s="29">
        <v>2</v>
      </c>
      <c r="G5" s="29">
        <v>1</v>
      </c>
      <c r="H5" s="29">
        <f t="shared" ref="H5:H19" si="1">VLOOKUP(CONCATENATE("F",F5,"P",G5),$C$4:$D$19,2,FALSE)</f>
        <v>3</v>
      </c>
      <c r="I5" s="30">
        <f>'Parametros de entrada'!H5</f>
        <v>55</v>
      </c>
      <c r="J5" s="31">
        <f>VLOOKUP(F5,'Parametros de entrada'!$AK$12:$AL$15,2,FALSE)</f>
        <v>0.2</v>
      </c>
      <c r="K5" s="30">
        <f t="shared" ref="K5:K19" si="2">(H5+I5)*J5</f>
        <v>11.600000000000001</v>
      </c>
      <c r="M5" s="29" t="s">
        <v>83</v>
      </c>
      <c r="N5" s="30" t="str">
        <f>CONCATENATE("F",IF(N10=$K$9,$F$9,IF(N10=$K$10,$F$10,IF(N10=$K$11,$F$11,$F$12))))</f>
        <v>F1</v>
      </c>
      <c r="O5" s="30" t="str">
        <f t="shared" ref="O5:Q5" si="3">CONCATENATE("F",IF(O10=$K$9,$F$9,IF(O10=$K$10,$F$10,IF(O10=$K$11,$F$11,$F$12))))</f>
        <v>F2</v>
      </c>
      <c r="P5" s="30" t="str">
        <f t="shared" si="3"/>
        <v>F4</v>
      </c>
      <c r="Q5" s="30" t="str">
        <f t="shared" si="3"/>
        <v>F3</v>
      </c>
    </row>
    <row r="6" spans="3:17" x14ac:dyDescent="0.25">
      <c r="C6" s="29" t="str">
        <f>CONCATENATE("F",'Parametros de entrada'!B6,"P",'Parametros de entrada'!A6)</f>
        <v>F1P3</v>
      </c>
      <c r="D6" s="30">
        <f>'Parametros de entrada'!D6</f>
        <v>10</v>
      </c>
      <c r="F6" s="29">
        <v>3</v>
      </c>
      <c r="G6" s="29">
        <v>1</v>
      </c>
      <c r="H6" s="29">
        <f t="shared" si="1"/>
        <v>3</v>
      </c>
      <c r="I6" s="30">
        <f>'Parametros de entrada'!H6</f>
        <v>52</v>
      </c>
      <c r="J6" s="31">
        <f>VLOOKUP(F6,'Parametros de entrada'!$AK$12:$AL$15,2,FALSE)</f>
        <v>0.6</v>
      </c>
      <c r="K6" s="30">
        <f t="shared" si="2"/>
        <v>33</v>
      </c>
      <c r="M6" s="29" t="s">
        <v>78</v>
      </c>
      <c r="N6" s="30" t="str">
        <f>CONCATENATE("F",IF(N11=$K$12,$F$12,IF(N11=$K$13,$F$13,IF(N11=$K$14,$F$14,$F$15))))</f>
        <v>F1</v>
      </c>
      <c r="O6" s="30" t="str">
        <f t="shared" ref="O6:Q6" si="4">CONCATENATE("F",IF(O11=$K$12,$F$12,IF(O11=$K$13,$F$13,IF(O11=$K$14,$F$14,$F$15))))</f>
        <v>F2</v>
      </c>
      <c r="P6" s="30" t="str">
        <f t="shared" si="4"/>
        <v>F4</v>
      </c>
      <c r="Q6" s="30" t="str">
        <f t="shared" si="4"/>
        <v>F3</v>
      </c>
    </row>
    <row r="7" spans="3:17" x14ac:dyDescent="0.25">
      <c r="C7" s="29" t="str">
        <f>CONCATENATE("F",'Parametros de entrada'!B7,"P",'Parametros de entrada'!A7)</f>
        <v>F1P4</v>
      </c>
      <c r="D7" s="30">
        <f>'Parametros de entrada'!D7</f>
        <v>2</v>
      </c>
      <c r="F7" s="29">
        <v>4</v>
      </c>
      <c r="G7" s="29">
        <v>1</v>
      </c>
      <c r="H7" s="29">
        <f t="shared" si="1"/>
        <v>4</v>
      </c>
      <c r="I7" s="30">
        <f>'Parametros de entrada'!H7</f>
        <v>60</v>
      </c>
      <c r="J7" s="31">
        <f>VLOOKUP(F7,'Parametros de entrada'!$AK$12:$AL$15,2,FALSE)</f>
        <v>0.3</v>
      </c>
      <c r="K7" s="30">
        <f t="shared" si="2"/>
        <v>19.2</v>
      </c>
      <c r="M7" s="29" t="s">
        <v>77</v>
      </c>
      <c r="N7" s="30" t="str">
        <f>CONCATENATE("F",IF(N12=$K$16,$F$16,IF(N12=$K$17,$F$17,IF(N12=$K$18,$F$18,$F$19))))</f>
        <v>F1</v>
      </c>
      <c r="O7" s="30" t="str">
        <f t="shared" ref="O7:Q7" si="5">CONCATENATE("F",IF(O12=$K$16,$F$16,IF(O12=$K$17,$F$17,IF(O12=$K$18,$F$18,$F$19))))</f>
        <v>F2</v>
      </c>
      <c r="P7" s="30" t="str">
        <f t="shared" si="5"/>
        <v>F4</v>
      </c>
      <c r="Q7" s="30" t="str">
        <f t="shared" si="5"/>
        <v>F3</v>
      </c>
    </row>
    <row r="8" spans="3:17" x14ac:dyDescent="0.25">
      <c r="C8" s="29" t="str">
        <f>CONCATENATE("F",'Parametros de entrada'!B8,"P",'Parametros de entrada'!A8)</f>
        <v>F2P1</v>
      </c>
      <c r="D8" s="30">
        <f>'Parametros de entrada'!D8</f>
        <v>3</v>
      </c>
      <c r="F8" s="29">
        <v>1</v>
      </c>
      <c r="G8" s="29">
        <v>2</v>
      </c>
      <c r="H8" s="29">
        <f t="shared" si="1"/>
        <v>4</v>
      </c>
      <c r="I8" s="30">
        <f>'Parametros de entrada'!H8</f>
        <v>100</v>
      </c>
      <c r="J8" s="31">
        <f>VLOOKUP(F8,'Parametros de entrada'!$AK$12:$AL$15,2,FALSE)</f>
        <v>0.1</v>
      </c>
      <c r="K8" s="30">
        <f t="shared" si="2"/>
        <v>10.4</v>
      </c>
    </row>
    <row r="9" spans="3:17" x14ac:dyDescent="0.25">
      <c r="C9" s="29" t="str">
        <f>CONCATENATE("F",'Parametros de entrada'!B9,"P",'Parametros de entrada'!A9)</f>
        <v>F2P2</v>
      </c>
      <c r="D9" s="30">
        <f>'Parametros de entrada'!D9</f>
        <v>3</v>
      </c>
      <c r="F9" s="29">
        <v>2</v>
      </c>
      <c r="G9" s="29">
        <v>2</v>
      </c>
      <c r="H9" s="29">
        <f t="shared" si="1"/>
        <v>3</v>
      </c>
      <c r="I9" s="30">
        <f>'Parametros de entrada'!H9</f>
        <v>110</v>
      </c>
      <c r="J9" s="31">
        <f>VLOOKUP(F9,'Parametros de entrada'!$AK$12:$AL$15,2,FALSE)</f>
        <v>0.2</v>
      </c>
      <c r="K9" s="30">
        <f t="shared" si="2"/>
        <v>22.6</v>
      </c>
      <c r="M9" s="29" t="s">
        <v>82</v>
      </c>
      <c r="N9" s="30">
        <f>MIN(K4:K7)</f>
        <v>5.3000000000000007</v>
      </c>
      <c r="O9" s="30">
        <f>MIN(IF($K$4=$N$9,1000,$K$4),IF($K$5=$N$9,1000,$K$5),IF($K$6=$N$9,1000,$K$6),IF($K$7=$N$9,1000,$K$7))</f>
        <v>11.600000000000001</v>
      </c>
      <c r="P9" s="30">
        <f>MIN(IF(OR($K$4=$N$9,$K$4=$O$9),1000,$K$4),IF(OR($K$5=$N$9,$K$5=$O$9),1000,$K$5),IF(OR($K$6=$N$9,$K$6=$O$9),1000,$K$6),IF(OR($K$7=$N$9,$K$7=$O$9),1000,$K$7))</f>
        <v>19.2</v>
      </c>
      <c r="Q9" s="30">
        <f>MIN(IF(OR($K$4=$N$9,$K$4=$O$9,$K$4=$P$9),1000,$K$4),IF(OR($K$5=$N$9,$K$5=$O$9,$K$5=$P$9),1000,$K$5),IF(OR($K$6=$N$9,$K$6=$O$9,$K$6=$P$9),1000,$K$6),IF(OR($K$7=$N$9,$K$7=$O$9,$K$7=$P$9),1000,$K$7))</f>
        <v>33</v>
      </c>
    </row>
    <row r="10" spans="3:17" x14ac:dyDescent="0.25">
      <c r="C10" s="29" t="str">
        <f>CONCATENATE("F",'Parametros de entrada'!B10,"P",'Parametros de entrada'!A10)</f>
        <v>F2P3</v>
      </c>
      <c r="D10" s="30">
        <f>'Parametros de entrada'!D10</f>
        <v>12</v>
      </c>
      <c r="F10" s="29">
        <v>3</v>
      </c>
      <c r="G10" s="29">
        <v>2</v>
      </c>
      <c r="H10" s="29">
        <f t="shared" si="1"/>
        <v>4</v>
      </c>
      <c r="I10" s="30">
        <f>'Parametros de entrada'!H10</f>
        <v>110</v>
      </c>
      <c r="J10" s="31">
        <f>VLOOKUP(F10,'Parametros de entrada'!$AK$12:$AL$15,2,FALSE)</f>
        <v>0.6</v>
      </c>
      <c r="K10" s="30">
        <f t="shared" si="2"/>
        <v>68.399999999999991</v>
      </c>
      <c r="M10" s="29" t="s">
        <v>84</v>
      </c>
      <c r="N10" s="30">
        <f>MIN(K8:K11)</f>
        <v>10.4</v>
      </c>
      <c r="O10" s="30">
        <f>MIN(IF($K$8=$N$10,1000,$K$8),IF($K$9=$N$10,1000,$K$9),IF($K$10=$N$10,1000,$K$10),IF($K$11=$N$10,1000,$K$11))</f>
        <v>22.6</v>
      </c>
      <c r="P10" s="30">
        <f>MIN(IF(OR($K$8=$N$10,$K$8=$O$10),1000,$K$8),IF(OR($K$9=$N$10,$K$9=$O$10),1000,$K$9),IF(OR($K$10=$N$10,$K$10=$O$10),1000,$K$10),IF(OR($K$11=$N$10,$K$11=$O$10),1000,$K$11))</f>
        <v>37.199999999999996</v>
      </c>
      <c r="Q10" s="30">
        <f>MIN(IF(OR($K$8=$N$10,$K$8=$O$10,$K$8=$P$10),1000,$K$8),IF(OR($K$9=$N$10,$K$9=$O$10,$K$9=$P$10),1000,$K$9),IF(OR($K$10=$N$10,$K$10=$O$10,$K$10=$P$10),1000,$K$10),IF(OR($K$11=$N$10,$K$11=$O$10,$K$11=$P$10),1000,$K$11))</f>
        <v>68.399999999999991</v>
      </c>
    </row>
    <row r="11" spans="3:17" x14ac:dyDescent="0.25">
      <c r="C11" s="29" t="str">
        <f>CONCATENATE("F",'Parametros de entrada'!B11,"P",'Parametros de entrada'!A11)</f>
        <v>F2P4</v>
      </c>
      <c r="D11" s="30">
        <f>'Parametros de entrada'!D11</f>
        <v>2</v>
      </c>
      <c r="F11" s="29">
        <v>4</v>
      </c>
      <c r="G11" s="29">
        <v>2</v>
      </c>
      <c r="H11" s="29">
        <f t="shared" si="1"/>
        <v>4</v>
      </c>
      <c r="I11" s="30">
        <f>'Parametros de entrada'!H11</f>
        <v>120</v>
      </c>
      <c r="J11" s="31">
        <f>VLOOKUP(F11,'Parametros de entrada'!$AK$12:$AL$15,2,FALSE)</f>
        <v>0.3</v>
      </c>
      <c r="K11" s="30">
        <f t="shared" si="2"/>
        <v>37.199999999999996</v>
      </c>
      <c r="M11" s="29" t="s">
        <v>85</v>
      </c>
      <c r="N11" s="30">
        <f>MIN(K12:K15)</f>
        <v>31</v>
      </c>
      <c r="O11" s="30">
        <f>MIN(IF($K$12=$N$11,1000,$K$12),IF($K$13=$N$11,1000,$K$13),IF($K$14=$N$11,1000,$K$14),IF($K$15=$N$11,1000,$K$15))</f>
        <v>64.400000000000006</v>
      </c>
      <c r="P11" s="30">
        <f>MIN(IF(OR($K$12=$N$11,$K$12=$O$11),1000,$K$12),IF(OR($K$13=$N$11,$K$13=$O$11),1000,$K$13),IF(OR($K$14=$N$11,$K$14=$O$11),1000,$K$14),IF(OR($K$15=$N$11,$K$15=$O$11),1000,$K$15))</f>
        <v>99.3</v>
      </c>
      <c r="Q11" s="30">
        <f>MIN(IF(OR($K$12=$N$11,$K$12=$O$11,$K$12=$P$11),1000,$K$12),IF(OR($K$13=$N$11,$K$13=$O$11,$K$13=$P$11),1000,$K$13),IF(OR($K$14=$N$11,$K$14=$O$11,$K$14=$P$11),1000,$K$14),IF(OR($K$15=$N$11,$K$15=$O$11,$K$15=$P$11),1000,$K$15))</f>
        <v>189</v>
      </c>
    </row>
    <row r="12" spans="3:17" x14ac:dyDescent="0.25">
      <c r="C12" s="29" t="str">
        <f>CONCATENATE("F",'Parametros de entrada'!B12,"P",'Parametros de entrada'!A12)</f>
        <v>F3P1</v>
      </c>
      <c r="D12" s="30">
        <f>'Parametros de entrada'!D12</f>
        <v>3</v>
      </c>
      <c r="F12" s="29">
        <v>1</v>
      </c>
      <c r="G12" s="29">
        <v>3</v>
      </c>
      <c r="H12" s="29">
        <f t="shared" si="1"/>
        <v>10</v>
      </c>
      <c r="I12" s="30">
        <f>'Parametros de entrada'!H12</f>
        <v>300</v>
      </c>
      <c r="J12" s="31">
        <f>VLOOKUP(F12,'Parametros de entrada'!$AK$12:$AL$15,2,FALSE)</f>
        <v>0.1</v>
      </c>
      <c r="K12" s="30">
        <f t="shared" si="2"/>
        <v>31</v>
      </c>
      <c r="M12" s="29" t="s">
        <v>86</v>
      </c>
      <c r="N12" s="30">
        <f>MIN(K16:K19)</f>
        <v>15.200000000000001</v>
      </c>
      <c r="O12" s="30">
        <f>MIN(IF($K$16=$N$12,1000,$K$16),IF($K$17=$N$12,1000,$K$17),IF($K$18=$N$12,1000,$K$18),IF($K$19=$N$12,1000,$K$19))</f>
        <v>28.400000000000002</v>
      </c>
      <c r="P12" s="30">
        <f>MIN(IF(OR($K$16=$N$12,$K$16=$O$12),1000,$K$16),IF(OR($K$17=$N$12,$K$17=$O$12),1000,$K$17),IF(OR($K$18=$N$12,$K$18=$O$12),1000,$K$18),IF(OR($K$19=$N$12,$K$19=$O$12),1000,$K$19))</f>
        <v>48.6</v>
      </c>
      <c r="Q12" s="30">
        <f>MIN(IF(OR($K$16=$N$12,$K$16=$O$12,$K$16=$P$12),1000,$K$16),IF(OR($K$17=$N$12,$K$17=$O$12,$K$17=$P$12),1000,$K$17),IF(OR($K$18=$N$12,$K$18=$O$12,$K$18=$P$12),1000,$K$18),IF(OR($K$19=$N$12,$K$19=$O$12,$K$19=$P$12),1000,$K$19))</f>
        <v>94.8</v>
      </c>
    </row>
    <row r="13" spans="3:17" x14ac:dyDescent="0.25">
      <c r="C13" s="29" t="str">
        <f>CONCATENATE("F",'Parametros de entrada'!B13,"P",'Parametros de entrada'!A13)</f>
        <v>F3P2</v>
      </c>
      <c r="D13" s="30">
        <f>'Parametros de entrada'!D13</f>
        <v>4</v>
      </c>
      <c r="F13" s="29">
        <v>2</v>
      </c>
      <c r="G13" s="29">
        <v>3</v>
      </c>
      <c r="H13" s="29">
        <f t="shared" si="1"/>
        <v>12</v>
      </c>
      <c r="I13" s="30">
        <f>'Parametros de entrada'!H13</f>
        <v>310</v>
      </c>
      <c r="J13" s="31">
        <f>VLOOKUP(F13,'Parametros de entrada'!$AK$12:$AL$15,2,FALSE)</f>
        <v>0.2</v>
      </c>
      <c r="K13" s="30">
        <f t="shared" si="2"/>
        <v>64.400000000000006</v>
      </c>
    </row>
    <row r="14" spans="3:17" x14ac:dyDescent="0.25">
      <c r="C14" s="29" t="str">
        <f>CONCATENATE("F",'Parametros de entrada'!B14,"P",'Parametros de entrada'!A14)</f>
        <v>F3P3</v>
      </c>
      <c r="D14" s="30">
        <f>'Parametros de entrada'!D14</f>
        <v>10</v>
      </c>
      <c r="F14" s="29">
        <v>3</v>
      </c>
      <c r="G14" s="29">
        <v>3</v>
      </c>
      <c r="H14" s="29">
        <f t="shared" si="1"/>
        <v>10</v>
      </c>
      <c r="I14" s="30">
        <f>'Parametros de entrada'!H14</f>
        <v>305</v>
      </c>
      <c r="J14" s="31">
        <f>VLOOKUP(F14,'Parametros de entrada'!$AK$12:$AL$15,2,FALSE)</f>
        <v>0.6</v>
      </c>
      <c r="K14" s="30">
        <f t="shared" si="2"/>
        <v>189</v>
      </c>
    </row>
    <row r="15" spans="3:17" x14ac:dyDescent="0.25">
      <c r="C15" s="29" t="str">
        <f>CONCATENATE("F",'Parametros de entrada'!B15,"P",'Parametros de entrada'!A15)</f>
        <v>F3P4</v>
      </c>
      <c r="D15" s="30">
        <f>'Parametros de entrada'!D15</f>
        <v>3</v>
      </c>
      <c r="F15" s="29">
        <v>4</v>
      </c>
      <c r="G15" s="29">
        <v>3</v>
      </c>
      <c r="H15" s="29">
        <f t="shared" si="1"/>
        <v>11</v>
      </c>
      <c r="I15" s="30">
        <f>'Parametros de entrada'!H15</f>
        <v>320</v>
      </c>
      <c r="J15" s="31">
        <f>VLOOKUP(F15,'Parametros de entrada'!$AK$12:$AL$15,2,FALSE)</f>
        <v>0.3</v>
      </c>
      <c r="K15" s="30">
        <f t="shared" si="2"/>
        <v>99.3</v>
      </c>
    </row>
    <row r="16" spans="3:17" x14ac:dyDescent="0.25">
      <c r="C16" s="29" t="str">
        <f>CONCATENATE("F",'Parametros de entrada'!B16,"P",'Parametros de entrada'!A16)</f>
        <v>F4P1</v>
      </c>
      <c r="D16" s="30">
        <f>'Parametros de entrada'!D16</f>
        <v>4</v>
      </c>
      <c r="F16" s="29">
        <v>1</v>
      </c>
      <c r="G16" s="29">
        <v>4</v>
      </c>
      <c r="H16" s="29">
        <f t="shared" si="1"/>
        <v>2</v>
      </c>
      <c r="I16" s="30">
        <f>'Parametros de entrada'!H16</f>
        <v>150</v>
      </c>
      <c r="J16" s="31">
        <f>VLOOKUP(F16,'Parametros de entrada'!$AK$12:$AL$15,2,FALSE)</f>
        <v>0.1</v>
      </c>
      <c r="K16" s="30">
        <f t="shared" si="2"/>
        <v>15.200000000000001</v>
      </c>
    </row>
    <row r="17" spans="3:11" x14ac:dyDescent="0.25">
      <c r="C17" s="29" t="str">
        <f>CONCATENATE("F",'Parametros de entrada'!B17,"P",'Parametros de entrada'!A17)</f>
        <v>F4P2</v>
      </c>
      <c r="D17" s="30">
        <f>'Parametros de entrada'!D17</f>
        <v>4</v>
      </c>
      <c r="F17" s="29">
        <v>2</v>
      </c>
      <c r="G17" s="29">
        <v>4</v>
      </c>
      <c r="H17" s="29">
        <f t="shared" si="1"/>
        <v>2</v>
      </c>
      <c r="I17" s="30">
        <f>'Parametros de entrada'!H17</f>
        <v>140</v>
      </c>
      <c r="J17" s="31">
        <f>VLOOKUP(F17,'Parametros de entrada'!$AK$12:$AL$15,2,FALSE)</f>
        <v>0.2</v>
      </c>
      <c r="K17" s="30">
        <f t="shared" si="2"/>
        <v>28.400000000000002</v>
      </c>
    </row>
    <row r="18" spans="3:11" x14ac:dyDescent="0.25">
      <c r="C18" s="29" t="str">
        <f>CONCATENATE("F",'Parametros de entrada'!B18,"P",'Parametros de entrada'!A18)</f>
        <v>F4P3</v>
      </c>
      <c r="D18" s="30">
        <f>'Parametros de entrada'!D18</f>
        <v>11</v>
      </c>
      <c r="F18" s="29">
        <v>3</v>
      </c>
      <c r="G18" s="29">
        <v>4</v>
      </c>
      <c r="H18" s="29">
        <f t="shared" si="1"/>
        <v>3</v>
      </c>
      <c r="I18" s="30">
        <f>'Parametros de entrada'!H18</f>
        <v>155</v>
      </c>
      <c r="J18" s="31">
        <f>VLOOKUP(F18,'Parametros de entrada'!$AK$12:$AL$15,2,FALSE)</f>
        <v>0.6</v>
      </c>
      <c r="K18" s="30">
        <f t="shared" si="2"/>
        <v>94.8</v>
      </c>
    </row>
    <row r="19" spans="3:11" x14ac:dyDescent="0.25">
      <c r="C19" s="29" t="str">
        <f>CONCATENATE("F",'Parametros de entrada'!B19,"P",'Parametros de entrada'!A19)</f>
        <v>F4P4</v>
      </c>
      <c r="D19" s="30">
        <f>'Parametros de entrada'!D19</f>
        <v>2</v>
      </c>
      <c r="F19" s="29">
        <v>4</v>
      </c>
      <c r="G19" s="29">
        <v>4</v>
      </c>
      <c r="H19" s="29">
        <f t="shared" si="1"/>
        <v>2</v>
      </c>
      <c r="I19" s="30">
        <f>'Parametros de entrada'!H19</f>
        <v>160</v>
      </c>
      <c r="J19" s="31">
        <f>VLOOKUP(F19,'Parametros de entrada'!$AK$12:$AL$15,2,FALSE)</f>
        <v>0.3</v>
      </c>
      <c r="K19" s="30">
        <f t="shared" si="2"/>
        <v>48.6</v>
      </c>
    </row>
  </sheetData>
  <sheetProtection algorithmName="SHA-512" hashValue="y5Ya1IAhSmQAHL2Ou+ryWI1i6gHDlr/BwBv/guVM/ZoNt+F6HJ+hqx16HXYHZYtqz6GFChhiKpmAbxAPO1Qcvg==" saltValue="cE7BDA+zikLP8+QOC5wMf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0AD85-EBF3-4E07-800D-F2110206A40E}">
  <sheetPr codeName="Hoja2"/>
  <dimension ref="B2:H11"/>
  <sheetViews>
    <sheetView workbookViewId="0">
      <selection activeCell="H12" sqref="H12"/>
    </sheetView>
  </sheetViews>
  <sheetFormatPr baseColWidth="10" defaultRowHeight="15" x14ac:dyDescent="0.25"/>
  <cols>
    <col min="2" max="2" width="13.85546875" bestFit="1" customWidth="1"/>
    <col min="8" max="8" width="13.28515625" bestFit="1" customWidth="1"/>
  </cols>
  <sheetData>
    <row r="2" spans="2:8" x14ac:dyDescent="0.25">
      <c r="B2" s="55" t="s">
        <v>24</v>
      </c>
      <c r="C2" s="55"/>
      <c r="D2" s="55"/>
      <c r="F2" s="55" t="s">
        <v>26</v>
      </c>
      <c r="G2" s="55"/>
      <c r="H2" s="55"/>
    </row>
    <row r="3" spans="2:8" x14ac:dyDescent="0.25">
      <c r="B3" s="7" t="s">
        <v>3</v>
      </c>
      <c r="C3" s="7" t="s">
        <v>25</v>
      </c>
      <c r="D3" s="7" t="s">
        <v>24</v>
      </c>
      <c r="F3" s="7" t="s">
        <v>3</v>
      </c>
      <c r="G3" s="7" t="s">
        <v>25</v>
      </c>
      <c r="H3" s="7" t="s">
        <v>26</v>
      </c>
    </row>
    <row r="4" spans="2:8" x14ac:dyDescent="0.25">
      <c r="B4" s="6">
        <v>1</v>
      </c>
      <c r="C4" s="6">
        <v>1</v>
      </c>
      <c r="D4" s="14">
        <v>6000</v>
      </c>
      <c r="F4" s="6">
        <v>1</v>
      </c>
      <c r="G4" s="6">
        <v>1</v>
      </c>
      <c r="H4" s="41">
        <v>2000</v>
      </c>
    </row>
    <row r="5" spans="2:8" x14ac:dyDescent="0.25">
      <c r="B5" s="6">
        <v>2</v>
      </c>
      <c r="C5" s="6">
        <v>1</v>
      </c>
      <c r="D5" s="14">
        <v>6000</v>
      </c>
      <c r="F5" s="6">
        <v>2</v>
      </c>
      <c r="G5" s="6">
        <v>1</v>
      </c>
      <c r="H5" s="41">
        <v>2000</v>
      </c>
    </row>
    <row r="6" spans="2:8" x14ac:dyDescent="0.25">
      <c r="B6" s="6">
        <v>3</v>
      </c>
      <c r="C6" s="6">
        <v>1</v>
      </c>
      <c r="D6" s="14">
        <v>6000</v>
      </c>
      <c r="F6" s="6">
        <v>3</v>
      </c>
      <c r="G6" s="6">
        <v>1</v>
      </c>
      <c r="H6" s="41">
        <v>2000</v>
      </c>
    </row>
    <row r="7" spans="2:8" x14ac:dyDescent="0.25">
      <c r="B7" s="6">
        <v>4</v>
      </c>
      <c r="C7" s="6">
        <v>1</v>
      </c>
      <c r="D7" s="14">
        <v>6000</v>
      </c>
      <c r="F7" s="6">
        <v>4</v>
      </c>
      <c r="G7" s="6">
        <v>1</v>
      </c>
      <c r="H7" s="41">
        <v>2000</v>
      </c>
    </row>
    <row r="8" spans="2:8" x14ac:dyDescent="0.25">
      <c r="B8" s="39"/>
      <c r="C8" s="39"/>
      <c r="D8" s="37"/>
      <c r="E8" s="39"/>
      <c r="F8" s="39"/>
      <c r="G8" s="39"/>
      <c r="H8" s="37"/>
    </row>
    <row r="9" spans="2:8" x14ac:dyDescent="0.25">
      <c r="B9" s="42" t="s">
        <v>97</v>
      </c>
      <c r="C9" s="20">
        <v>5</v>
      </c>
      <c r="D9" s="37"/>
      <c r="E9" s="39"/>
      <c r="F9" s="39"/>
      <c r="G9" s="39"/>
      <c r="H9" s="37"/>
    </row>
    <row r="10" spans="2:8" x14ac:dyDescent="0.25">
      <c r="B10" s="39"/>
      <c r="C10" s="39"/>
      <c r="D10" s="37"/>
      <c r="E10" s="39"/>
      <c r="F10" s="39"/>
      <c r="G10" s="39"/>
      <c r="H10" s="37"/>
    </row>
    <row r="11" spans="2:8" x14ac:dyDescent="0.25">
      <c r="B11" s="39"/>
      <c r="C11" s="39"/>
      <c r="D11" s="37"/>
      <c r="E11" s="39"/>
      <c r="F11" s="39"/>
      <c r="G11" s="39"/>
      <c r="H11" s="37"/>
    </row>
  </sheetData>
  <sheetProtection algorithmName="SHA-512" hashValue="XiYaktCsPgHAUm+G7WXGqT6qsCmYyXXNeX64xxcIoMmNGZ/K5DFPX0kdZDPMYLjQKsPR0d36jGDGv4nrTDoyAA==" saltValue="LIgic2j8QMgXFerh15ZWRg==" spinCount="100000" sheet="1" objects="1" scenarios="1"/>
  <mergeCells count="2">
    <mergeCell ref="B2:D2"/>
    <mergeCell ref="F2:H2"/>
  </mergeCells>
  <phoneticPr fontId="6" type="noConversion"/>
  <dataValidations count="1">
    <dataValidation type="whole" operator="greaterThanOrEqual" allowBlank="1" showInputMessage="1" showErrorMessage="1" sqref="C9" xr:uid="{875AFB25-B5A6-49AE-A09F-685CCCDF4546}">
      <formula1>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BD69E-C2A0-453B-82F5-E5DFD4E40044}">
  <sheetPr codeName="Hoja3"/>
  <dimension ref="C4:I254"/>
  <sheetViews>
    <sheetView topLeftCell="A4" workbookViewId="0">
      <selection activeCell="G9" sqref="G9"/>
    </sheetView>
  </sheetViews>
  <sheetFormatPr baseColWidth="10" defaultRowHeight="15" x14ac:dyDescent="0.25"/>
  <cols>
    <col min="3" max="3" width="18.140625" style="8" bestFit="1" customWidth="1"/>
    <col min="4" max="4" width="28.140625" style="8" bestFit="1" customWidth="1"/>
    <col min="5" max="5" width="13.42578125" style="8" bestFit="1" customWidth="1"/>
    <col min="6" max="6" width="14.85546875" style="8" bestFit="1" customWidth="1"/>
    <col min="7" max="7" width="12" style="8" bestFit="1" customWidth="1"/>
    <col min="8" max="8" width="13" bestFit="1" customWidth="1"/>
    <col min="9" max="9" width="13.28515625" bestFit="1" customWidth="1"/>
  </cols>
  <sheetData>
    <row r="4" spans="3:9" x14ac:dyDescent="0.25">
      <c r="C4" s="10" t="s">
        <v>42</v>
      </c>
      <c r="D4" s="10" t="s">
        <v>43</v>
      </c>
      <c r="E4" s="10" t="s">
        <v>44</v>
      </c>
      <c r="F4" s="10" t="s">
        <v>45</v>
      </c>
      <c r="G4" s="10" t="s">
        <v>46</v>
      </c>
      <c r="H4" s="44" t="s">
        <v>118</v>
      </c>
      <c r="I4" s="44" t="s">
        <v>119</v>
      </c>
    </row>
    <row r="5" spans="3:9" x14ac:dyDescent="0.25">
      <c r="C5" s="9" t="s">
        <v>27</v>
      </c>
      <c r="D5" s="9" t="s">
        <v>32</v>
      </c>
      <c r="E5" s="9" t="s">
        <v>29</v>
      </c>
      <c r="F5" s="9">
        <v>1</v>
      </c>
      <c r="G5" s="9">
        <v>1</v>
      </c>
      <c r="H5">
        <v>1</v>
      </c>
      <c r="I5">
        <v>1</v>
      </c>
    </row>
    <row r="6" spans="3:9" x14ac:dyDescent="0.25">
      <c r="C6" s="9" t="s">
        <v>27</v>
      </c>
      <c r="D6" s="9" t="s">
        <v>32</v>
      </c>
      <c r="E6" s="9" t="s">
        <v>38</v>
      </c>
      <c r="F6" s="9">
        <v>1</v>
      </c>
      <c r="G6" s="9">
        <v>1</v>
      </c>
      <c r="H6">
        <v>1</v>
      </c>
      <c r="I6">
        <v>1</v>
      </c>
    </row>
    <row r="7" spans="3:9" x14ac:dyDescent="0.25">
      <c r="C7" s="9" t="s">
        <v>27</v>
      </c>
      <c r="D7" s="9" t="s">
        <v>32</v>
      </c>
      <c r="E7" s="9" t="s">
        <v>37</v>
      </c>
      <c r="F7" s="9">
        <v>1</v>
      </c>
      <c r="G7" s="9">
        <v>1</v>
      </c>
      <c r="H7">
        <v>1</v>
      </c>
      <c r="I7">
        <v>1</v>
      </c>
    </row>
    <row r="8" spans="3:9" x14ac:dyDescent="0.25">
      <c r="C8" s="9" t="s">
        <v>27</v>
      </c>
      <c r="D8" s="9" t="s">
        <v>32</v>
      </c>
      <c r="E8" s="9" t="s">
        <v>36</v>
      </c>
      <c r="F8" s="9">
        <v>1</v>
      </c>
      <c r="G8" s="9">
        <v>1</v>
      </c>
      <c r="H8">
        <v>1</v>
      </c>
      <c r="I8">
        <v>1</v>
      </c>
    </row>
    <row r="9" spans="3:9" x14ac:dyDescent="0.25">
      <c r="C9" s="9" t="s">
        <v>27</v>
      </c>
      <c r="D9" s="9" t="s">
        <v>32</v>
      </c>
      <c r="E9" s="9" t="s">
        <v>41</v>
      </c>
      <c r="F9" s="9">
        <v>1</v>
      </c>
      <c r="G9" s="9">
        <v>1</v>
      </c>
      <c r="H9">
        <v>1</v>
      </c>
      <c r="I9">
        <v>1</v>
      </c>
    </row>
    <row r="10" spans="3:9" x14ac:dyDescent="0.25">
      <c r="C10" s="9" t="s">
        <v>27</v>
      </c>
      <c r="D10" s="9" t="s">
        <v>31</v>
      </c>
      <c r="E10" s="9" t="s">
        <v>29</v>
      </c>
      <c r="F10" s="9">
        <v>1</v>
      </c>
      <c r="G10" s="9">
        <v>1</v>
      </c>
      <c r="H10">
        <v>1</v>
      </c>
      <c r="I10">
        <v>1</v>
      </c>
    </row>
    <row r="11" spans="3:9" x14ac:dyDescent="0.25">
      <c r="C11" s="9" t="s">
        <v>27</v>
      </c>
      <c r="D11" s="9" t="s">
        <v>31</v>
      </c>
      <c r="E11" s="9" t="s">
        <v>38</v>
      </c>
      <c r="F11" s="9">
        <v>1</v>
      </c>
      <c r="G11" s="9">
        <v>1</v>
      </c>
      <c r="H11">
        <v>1</v>
      </c>
      <c r="I11">
        <v>1</v>
      </c>
    </row>
    <row r="12" spans="3:9" x14ac:dyDescent="0.25">
      <c r="C12" s="9" t="s">
        <v>27</v>
      </c>
      <c r="D12" s="9" t="s">
        <v>31</v>
      </c>
      <c r="E12" s="9" t="s">
        <v>37</v>
      </c>
      <c r="F12" s="9">
        <v>1</v>
      </c>
      <c r="G12" s="9">
        <v>1</v>
      </c>
      <c r="H12">
        <v>1</v>
      </c>
      <c r="I12">
        <v>1</v>
      </c>
    </row>
    <row r="13" spans="3:9" x14ac:dyDescent="0.25">
      <c r="C13" s="9" t="s">
        <v>27</v>
      </c>
      <c r="D13" s="9" t="s">
        <v>31</v>
      </c>
      <c r="E13" s="9" t="s">
        <v>36</v>
      </c>
      <c r="F13" s="9">
        <v>1</v>
      </c>
      <c r="G13" s="9">
        <v>1</v>
      </c>
      <c r="H13">
        <v>1</v>
      </c>
      <c r="I13">
        <v>1</v>
      </c>
    </row>
    <row r="14" spans="3:9" x14ac:dyDescent="0.25">
      <c r="C14" s="9" t="s">
        <v>27</v>
      </c>
      <c r="D14" s="9" t="s">
        <v>31</v>
      </c>
      <c r="E14" s="9" t="s">
        <v>41</v>
      </c>
      <c r="F14" s="9">
        <v>1</v>
      </c>
      <c r="G14" s="9">
        <v>1</v>
      </c>
      <c r="H14">
        <v>1</v>
      </c>
      <c r="I14">
        <v>1</v>
      </c>
    </row>
    <row r="15" spans="3:9" x14ac:dyDescent="0.25">
      <c r="C15" s="9" t="s">
        <v>27</v>
      </c>
      <c r="D15" s="9" t="s">
        <v>30</v>
      </c>
      <c r="E15" s="9" t="s">
        <v>29</v>
      </c>
      <c r="F15" s="9">
        <v>1</v>
      </c>
      <c r="G15" s="9">
        <v>1</v>
      </c>
      <c r="H15">
        <v>1</v>
      </c>
      <c r="I15">
        <v>1</v>
      </c>
    </row>
    <row r="16" spans="3:9" x14ac:dyDescent="0.25">
      <c r="C16" s="9" t="s">
        <v>27</v>
      </c>
      <c r="D16" s="9" t="s">
        <v>30</v>
      </c>
      <c r="E16" s="9" t="s">
        <v>38</v>
      </c>
      <c r="F16" s="9">
        <v>1</v>
      </c>
      <c r="G16" s="9">
        <v>1</v>
      </c>
      <c r="H16">
        <v>1</v>
      </c>
      <c r="I16">
        <v>1</v>
      </c>
    </row>
    <row r="17" spans="3:9" x14ac:dyDescent="0.25">
      <c r="C17" s="9" t="s">
        <v>27</v>
      </c>
      <c r="D17" s="9" t="s">
        <v>30</v>
      </c>
      <c r="E17" s="9" t="s">
        <v>37</v>
      </c>
      <c r="F17" s="9">
        <v>1</v>
      </c>
      <c r="G17" s="9">
        <v>1</v>
      </c>
      <c r="H17">
        <v>1</v>
      </c>
      <c r="I17">
        <v>1</v>
      </c>
    </row>
    <row r="18" spans="3:9" x14ac:dyDescent="0.25">
      <c r="C18" s="9" t="s">
        <v>27</v>
      </c>
      <c r="D18" s="9" t="s">
        <v>30</v>
      </c>
      <c r="E18" s="9" t="s">
        <v>36</v>
      </c>
      <c r="F18" s="9">
        <v>1</v>
      </c>
      <c r="G18" s="9">
        <v>1</v>
      </c>
      <c r="H18">
        <v>1</v>
      </c>
      <c r="I18">
        <v>1</v>
      </c>
    </row>
    <row r="19" spans="3:9" x14ac:dyDescent="0.25">
      <c r="C19" s="9" t="s">
        <v>27</v>
      </c>
      <c r="D19" s="9" t="s">
        <v>30</v>
      </c>
      <c r="E19" s="9" t="s">
        <v>41</v>
      </c>
      <c r="F19" s="9">
        <v>1</v>
      </c>
      <c r="G19" s="9">
        <v>1</v>
      </c>
      <c r="H19">
        <v>1</v>
      </c>
      <c r="I19">
        <v>1</v>
      </c>
    </row>
    <row r="20" spans="3:9" x14ac:dyDescent="0.25">
      <c r="C20" s="9" t="s">
        <v>27</v>
      </c>
      <c r="D20" s="9" t="s">
        <v>28</v>
      </c>
      <c r="E20" s="9" t="s">
        <v>29</v>
      </c>
      <c r="F20" s="9">
        <v>1</v>
      </c>
      <c r="G20" s="9">
        <v>1</v>
      </c>
      <c r="H20">
        <v>1</v>
      </c>
      <c r="I20">
        <v>1</v>
      </c>
    </row>
    <row r="21" spans="3:9" x14ac:dyDescent="0.25">
      <c r="C21" s="9" t="s">
        <v>27</v>
      </c>
      <c r="D21" s="9" t="s">
        <v>28</v>
      </c>
      <c r="E21" s="9" t="s">
        <v>38</v>
      </c>
      <c r="F21" s="9">
        <v>1</v>
      </c>
      <c r="G21" s="9">
        <v>1</v>
      </c>
      <c r="H21">
        <v>1</v>
      </c>
      <c r="I21">
        <v>1</v>
      </c>
    </row>
    <row r="22" spans="3:9" x14ac:dyDescent="0.25">
      <c r="C22" s="9" t="s">
        <v>27</v>
      </c>
      <c r="D22" s="9" t="s">
        <v>28</v>
      </c>
      <c r="E22" s="9" t="s">
        <v>37</v>
      </c>
      <c r="F22" s="9">
        <v>1</v>
      </c>
      <c r="G22" s="9">
        <v>1</v>
      </c>
      <c r="H22">
        <v>1</v>
      </c>
      <c r="I22">
        <v>1</v>
      </c>
    </row>
    <row r="23" spans="3:9" x14ac:dyDescent="0.25">
      <c r="C23" s="9" t="s">
        <v>27</v>
      </c>
      <c r="D23" s="9" t="s">
        <v>28</v>
      </c>
      <c r="E23" s="9" t="s">
        <v>36</v>
      </c>
      <c r="F23" s="9">
        <v>1</v>
      </c>
      <c r="G23" s="9">
        <v>1</v>
      </c>
      <c r="H23">
        <v>1</v>
      </c>
      <c r="I23">
        <v>1</v>
      </c>
    </row>
    <row r="24" spans="3:9" x14ac:dyDescent="0.25">
      <c r="C24" s="9" t="s">
        <v>27</v>
      </c>
      <c r="D24" s="9" t="s">
        <v>28</v>
      </c>
      <c r="E24" s="9" t="s">
        <v>41</v>
      </c>
      <c r="F24" s="9">
        <v>1</v>
      </c>
      <c r="G24" s="9">
        <v>1</v>
      </c>
      <c r="H24">
        <v>1</v>
      </c>
      <c r="I24">
        <v>1</v>
      </c>
    </row>
    <row r="25" spans="3:9" x14ac:dyDescent="0.25">
      <c r="C25" s="9" t="s">
        <v>27</v>
      </c>
      <c r="D25" s="9" t="s">
        <v>32</v>
      </c>
      <c r="E25" s="9" t="s">
        <v>94</v>
      </c>
      <c r="F25" s="9">
        <v>1</v>
      </c>
      <c r="G25" s="9">
        <v>1</v>
      </c>
      <c r="H25">
        <v>1</v>
      </c>
      <c r="I25">
        <v>1</v>
      </c>
    </row>
    <row r="26" spans="3:9" x14ac:dyDescent="0.25">
      <c r="C26" s="9" t="s">
        <v>27</v>
      </c>
      <c r="D26" s="9" t="s">
        <v>32</v>
      </c>
      <c r="E26" s="9" t="s">
        <v>40</v>
      </c>
      <c r="F26" s="9">
        <v>1</v>
      </c>
      <c r="G26" s="9">
        <v>1</v>
      </c>
      <c r="H26">
        <v>1</v>
      </c>
      <c r="I26">
        <v>1</v>
      </c>
    </row>
    <row r="27" spans="3:9" x14ac:dyDescent="0.25">
      <c r="C27" s="9" t="s">
        <v>27</v>
      </c>
      <c r="D27" s="9" t="s">
        <v>32</v>
      </c>
      <c r="E27" s="9" t="s">
        <v>34</v>
      </c>
      <c r="F27" s="9">
        <v>1</v>
      </c>
      <c r="G27" s="9">
        <v>1</v>
      </c>
      <c r="H27">
        <v>1</v>
      </c>
      <c r="I27">
        <v>1</v>
      </c>
    </row>
    <row r="28" spans="3:9" x14ac:dyDescent="0.25">
      <c r="C28" s="9" t="s">
        <v>27</v>
      </c>
      <c r="D28" s="9" t="s">
        <v>32</v>
      </c>
      <c r="E28" s="9" t="s">
        <v>39</v>
      </c>
      <c r="F28" s="9">
        <v>1</v>
      </c>
      <c r="G28" s="9">
        <v>1</v>
      </c>
      <c r="H28">
        <v>1</v>
      </c>
      <c r="I28">
        <v>1</v>
      </c>
    </row>
    <row r="29" spans="3:9" x14ac:dyDescent="0.25">
      <c r="C29" s="9" t="s">
        <v>27</v>
      </c>
      <c r="D29" s="9" t="s">
        <v>32</v>
      </c>
      <c r="E29" s="9" t="s">
        <v>35</v>
      </c>
      <c r="F29" s="9">
        <v>1</v>
      </c>
      <c r="G29" s="9">
        <v>1</v>
      </c>
      <c r="H29">
        <v>1</v>
      </c>
      <c r="I29">
        <v>1</v>
      </c>
    </row>
    <row r="30" spans="3:9" x14ac:dyDescent="0.25">
      <c r="C30" s="9" t="s">
        <v>27</v>
      </c>
      <c r="D30" s="9" t="s">
        <v>31</v>
      </c>
      <c r="E30" s="9" t="s">
        <v>94</v>
      </c>
      <c r="F30" s="9">
        <v>1</v>
      </c>
      <c r="G30" s="9">
        <v>1</v>
      </c>
      <c r="H30">
        <v>1</v>
      </c>
      <c r="I30">
        <v>1</v>
      </c>
    </row>
    <row r="31" spans="3:9" x14ac:dyDescent="0.25">
      <c r="C31" s="9" t="s">
        <v>27</v>
      </c>
      <c r="D31" s="9" t="s">
        <v>31</v>
      </c>
      <c r="E31" s="9" t="s">
        <v>40</v>
      </c>
      <c r="F31" s="9">
        <v>1</v>
      </c>
      <c r="G31" s="9">
        <v>1</v>
      </c>
      <c r="H31">
        <v>1</v>
      </c>
      <c r="I31">
        <v>1</v>
      </c>
    </row>
    <row r="32" spans="3:9" x14ac:dyDescent="0.25">
      <c r="C32" s="9" t="s">
        <v>27</v>
      </c>
      <c r="D32" s="9" t="s">
        <v>31</v>
      </c>
      <c r="E32" s="9" t="s">
        <v>34</v>
      </c>
      <c r="F32" s="9">
        <v>1</v>
      </c>
      <c r="G32" s="9">
        <v>1</v>
      </c>
      <c r="H32">
        <v>1</v>
      </c>
      <c r="I32">
        <v>1</v>
      </c>
    </row>
    <row r="33" spans="3:9" x14ac:dyDescent="0.25">
      <c r="C33" s="9" t="s">
        <v>27</v>
      </c>
      <c r="D33" s="9" t="s">
        <v>31</v>
      </c>
      <c r="E33" s="9" t="s">
        <v>39</v>
      </c>
      <c r="F33" s="9">
        <v>1</v>
      </c>
      <c r="G33" s="9">
        <v>1</v>
      </c>
      <c r="H33">
        <v>1</v>
      </c>
      <c r="I33">
        <v>1</v>
      </c>
    </row>
    <row r="34" spans="3:9" x14ac:dyDescent="0.25">
      <c r="C34" s="9" t="s">
        <v>27</v>
      </c>
      <c r="D34" s="9" t="s">
        <v>31</v>
      </c>
      <c r="E34" s="9" t="s">
        <v>35</v>
      </c>
      <c r="F34" s="9">
        <v>1</v>
      </c>
      <c r="G34" s="9">
        <v>1</v>
      </c>
      <c r="H34">
        <v>1</v>
      </c>
      <c r="I34">
        <v>1</v>
      </c>
    </row>
    <row r="35" spans="3:9" x14ac:dyDescent="0.25">
      <c r="C35" s="9" t="s">
        <v>27</v>
      </c>
      <c r="D35" s="9" t="s">
        <v>30</v>
      </c>
      <c r="E35" s="9" t="s">
        <v>94</v>
      </c>
      <c r="F35" s="9">
        <v>1</v>
      </c>
      <c r="G35" s="9">
        <v>1</v>
      </c>
      <c r="H35">
        <v>1</v>
      </c>
      <c r="I35">
        <v>1</v>
      </c>
    </row>
    <row r="36" spans="3:9" x14ac:dyDescent="0.25">
      <c r="C36" s="9" t="s">
        <v>27</v>
      </c>
      <c r="D36" s="9" t="s">
        <v>30</v>
      </c>
      <c r="E36" s="9" t="s">
        <v>40</v>
      </c>
      <c r="F36" s="9">
        <v>1</v>
      </c>
      <c r="G36" s="9">
        <v>1</v>
      </c>
      <c r="H36">
        <v>1</v>
      </c>
      <c r="I36">
        <v>1</v>
      </c>
    </row>
    <row r="37" spans="3:9" x14ac:dyDescent="0.25">
      <c r="C37" s="9" t="s">
        <v>27</v>
      </c>
      <c r="D37" s="9" t="s">
        <v>30</v>
      </c>
      <c r="E37" s="9" t="s">
        <v>34</v>
      </c>
      <c r="F37" s="9">
        <v>1</v>
      </c>
      <c r="G37" s="9">
        <v>1</v>
      </c>
      <c r="H37">
        <v>1</v>
      </c>
      <c r="I37">
        <v>1</v>
      </c>
    </row>
    <row r="38" spans="3:9" x14ac:dyDescent="0.25">
      <c r="C38" s="9" t="s">
        <v>27</v>
      </c>
      <c r="D38" s="9" t="s">
        <v>30</v>
      </c>
      <c r="E38" s="9" t="s">
        <v>39</v>
      </c>
      <c r="F38" s="9">
        <v>1</v>
      </c>
      <c r="G38" s="9">
        <v>1</v>
      </c>
      <c r="H38">
        <v>1</v>
      </c>
      <c r="I38">
        <v>1</v>
      </c>
    </row>
    <row r="39" spans="3:9" x14ac:dyDescent="0.25">
      <c r="C39" s="9" t="s">
        <v>27</v>
      </c>
      <c r="D39" s="9" t="s">
        <v>30</v>
      </c>
      <c r="E39" s="9" t="s">
        <v>35</v>
      </c>
      <c r="F39" s="9">
        <v>1</v>
      </c>
      <c r="G39" s="9">
        <v>1</v>
      </c>
      <c r="H39">
        <v>1</v>
      </c>
      <c r="I39">
        <v>1</v>
      </c>
    </row>
    <row r="40" spans="3:9" x14ac:dyDescent="0.25">
      <c r="C40" s="9" t="s">
        <v>27</v>
      </c>
      <c r="D40" s="9" t="s">
        <v>28</v>
      </c>
      <c r="E40" s="9" t="s">
        <v>94</v>
      </c>
      <c r="F40" s="9">
        <v>1</v>
      </c>
      <c r="G40" s="9">
        <v>1</v>
      </c>
      <c r="H40">
        <v>1</v>
      </c>
      <c r="I40">
        <v>1</v>
      </c>
    </row>
    <row r="41" spans="3:9" x14ac:dyDescent="0.25">
      <c r="C41" s="9" t="s">
        <v>27</v>
      </c>
      <c r="D41" s="9" t="s">
        <v>28</v>
      </c>
      <c r="E41" s="9" t="s">
        <v>40</v>
      </c>
      <c r="F41" s="9">
        <v>1</v>
      </c>
      <c r="G41" s="9">
        <v>1</v>
      </c>
      <c r="H41">
        <v>1</v>
      </c>
      <c r="I41">
        <v>1</v>
      </c>
    </row>
    <row r="42" spans="3:9" x14ac:dyDescent="0.25">
      <c r="C42" s="9" t="s">
        <v>27</v>
      </c>
      <c r="D42" s="9" t="s">
        <v>28</v>
      </c>
      <c r="E42" s="9" t="s">
        <v>34</v>
      </c>
      <c r="F42" s="9">
        <v>1</v>
      </c>
      <c r="G42" s="9">
        <v>1</v>
      </c>
      <c r="H42">
        <v>1</v>
      </c>
      <c r="I42">
        <v>1</v>
      </c>
    </row>
    <row r="43" spans="3:9" x14ac:dyDescent="0.25">
      <c r="C43" s="9" t="s">
        <v>27</v>
      </c>
      <c r="D43" s="9" t="s">
        <v>28</v>
      </c>
      <c r="E43" s="9" t="s">
        <v>39</v>
      </c>
      <c r="F43" s="9">
        <v>1</v>
      </c>
      <c r="G43" s="9">
        <v>1</v>
      </c>
      <c r="H43">
        <v>1</v>
      </c>
      <c r="I43">
        <v>1</v>
      </c>
    </row>
    <row r="44" spans="3:9" x14ac:dyDescent="0.25">
      <c r="C44" s="9" t="s">
        <v>27</v>
      </c>
      <c r="D44" s="9" t="s">
        <v>28</v>
      </c>
      <c r="E44" s="9" t="s">
        <v>35</v>
      </c>
      <c r="F44" s="9">
        <v>1</v>
      </c>
      <c r="G44" s="9">
        <v>1</v>
      </c>
      <c r="H44">
        <v>1</v>
      </c>
      <c r="I44">
        <v>1</v>
      </c>
    </row>
    <row r="45" spans="3:9" x14ac:dyDescent="0.25">
      <c r="C45" s="9" t="s">
        <v>27</v>
      </c>
      <c r="D45" s="9" t="s">
        <v>33</v>
      </c>
      <c r="E45" s="9" t="s">
        <v>39</v>
      </c>
      <c r="F45" s="9">
        <v>3067777.1202173787</v>
      </c>
      <c r="G45" s="9">
        <v>6300068.0355641758</v>
      </c>
      <c r="H45">
        <v>0</v>
      </c>
      <c r="I45">
        <v>6300068.0355641758</v>
      </c>
    </row>
    <row r="46" spans="3:9" x14ac:dyDescent="0.25">
      <c r="C46" s="9" t="s">
        <v>27</v>
      </c>
      <c r="D46" s="9" t="s">
        <v>33</v>
      </c>
      <c r="E46" s="9" t="s">
        <v>38</v>
      </c>
      <c r="F46" s="9">
        <v>3144123.3882519011</v>
      </c>
      <c r="G46" s="9">
        <v>6392300.525875099</v>
      </c>
      <c r="H46">
        <v>0</v>
      </c>
      <c r="I46">
        <v>6392300.525875099</v>
      </c>
    </row>
    <row r="47" spans="3:9" x14ac:dyDescent="0.25">
      <c r="C47" s="9" t="s">
        <v>27</v>
      </c>
      <c r="D47" s="9" t="s">
        <v>33</v>
      </c>
      <c r="E47" s="9" t="s">
        <v>29</v>
      </c>
      <c r="F47" s="9">
        <v>3084555.7520250706</v>
      </c>
      <c r="G47" s="9">
        <v>6473010.6422335878</v>
      </c>
      <c r="H47">
        <v>0</v>
      </c>
      <c r="I47">
        <v>6473010.6422335878</v>
      </c>
    </row>
    <row r="48" spans="3:9" x14ac:dyDescent="0.25">
      <c r="C48" s="9" t="s">
        <v>27</v>
      </c>
      <c r="D48" s="9" t="s">
        <v>33</v>
      </c>
      <c r="E48" s="9" t="s">
        <v>36</v>
      </c>
      <c r="F48" s="9">
        <v>3175598.388989537</v>
      </c>
      <c r="G48" s="9">
        <v>6546481.9183108574</v>
      </c>
      <c r="H48">
        <v>0</v>
      </c>
      <c r="I48">
        <v>6546481.9183108574</v>
      </c>
    </row>
    <row r="49" spans="3:9" x14ac:dyDescent="0.25">
      <c r="C49" s="9" t="s">
        <v>27</v>
      </c>
      <c r="D49" s="9" t="s">
        <v>33</v>
      </c>
      <c r="E49" s="9" t="s">
        <v>35</v>
      </c>
      <c r="F49" s="9">
        <v>3200368.4700389151</v>
      </c>
      <c r="G49" s="9">
        <v>6595081.8877400635</v>
      </c>
      <c r="H49">
        <v>0</v>
      </c>
      <c r="I49">
        <v>6595081.8877400635</v>
      </c>
    </row>
    <row r="50" spans="3:9" x14ac:dyDescent="0.25">
      <c r="C50" s="9" t="s">
        <v>27</v>
      </c>
      <c r="D50" s="9" t="s">
        <v>33</v>
      </c>
      <c r="E50" s="9" t="s">
        <v>37</v>
      </c>
      <c r="F50" s="9">
        <v>3168608.4715621644</v>
      </c>
      <c r="G50" s="9">
        <v>6631400.4362478741</v>
      </c>
      <c r="H50">
        <v>0</v>
      </c>
      <c r="I50">
        <v>6631400.4362478741</v>
      </c>
    </row>
    <row r="51" spans="3:9" x14ac:dyDescent="0.25">
      <c r="C51" s="9" t="s">
        <v>27</v>
      </c>
      <c r="D51" s="9" t="s">
        <v>33</v>
      </c>
      <c r="E51" s="9" t="s">
        <v>94</v>
      </c>
      <c r="F51" s="9">
        <v>3144242.1638946687</v>
      </c>
      <c r="G51" s="9">
        <v>6642791.7872029552</v>
      </c>
      <c r="H51">
        <v>0</v>
      </c>
      <c r="I51">
        <v>6642791.7872029552</v>
      </c>
    </row>
    <row r="52" spans="3:9" x14ac:dyDescent="0.25">
      <c r="C52" s="9" t="s">
        <v>27</v>
      </c>
      <c r="D52" s="9" t="s">
        <v>33</v>
      </c>
      <c r="E52" s="9" t="s">
        <v>34</v>
      </c>
      <c r="F52" s="9">
        <v>3172051.0920451726</v>
      </c>
      <c r="G52" s="9">
        <v>6698365.0678825416</v>
      </c>
      <c r="H52">
        <v>0</v>
      </c>
      <c r="I52">
        <v>6698365.0678825416</v>
      </c>
    </row>
    <row r="53" spans="3:9" x14ac:dyDescent="0.25">
      <c r="C53" s="9" t="s">
        <v>27</v>
      </c>
      <c r="D53" s="9" t="s">
        <v>33</v>
      </c>
      <c r="E53" s="9" t="s">
        <v>41</v>
      </c>
      <c r="F53" s="9">
        <v>3156122.1311051156</v>
      </c>
      <c r="G53" s="9">
        <v>6827743.33400313</v>
      </c>
      <c r="H53">
        <v>0</v>
      </c>
      <c r="I53">
        <v>6827743.33400313</v>
      </c>
    </row>
    <row r="54" spans="3:9" x14ac:dyDescent="0.25">
      <c r="C54" s="9" t="s">
        <v>27</v>
      </c>
      <c r="D54" s="9" t="s">
        <v>33</v>
      </c>
      <c r="E54" s="9" t="s">
        <v>40</v>
      </c>
      <c r="F54" s="9">
        <v>3322005.3126948751</v>
      </c>
      <c r="G54" s="9">
        <v>6828589.5725401752</v>
      </c>
      <c r="H54">
        <v>0</v>
      </c>
      <c r="I54">
        <v>6828589.5725401752</v>
      </c>
    </row>
    <row r="55" spans="3:9" x14ac:dyDescent="0.25">
      <c r="C55" s="8" t="s">
        <v>27</v>
      </c>
      <c r="D55" s="8" t="s">
        <v>100</v>
      </c>
      <c r="E55" s="8" t="s">
        <v>40</v>
      </c>
      <c r="F55" s="8">
        <v>0</v>
      </c>
      <c r="G55" s="8">
        <v>0</v>
      </c>
      <c r="H55">
        <v>0</v>
      </c>
      <c r="I55">
        <v>0</v>
      </c>
    </row>
    <row r="56" spans="3:9" x14ac:dyDescent="0.25">
      <c r="C56" s="8" t="s">
        <v>27</v>
      </c>
      <c r="D56" s="8" t="s">
        <v>100</v>
      </c>
      <c r="E56" s="8" t="s">
        <v>34</v>
      </c>
      <c r="F56" s="8">
        <v>0</v>
      </c>
      <c r="G56" s="8">
        <v>0</v>
      </c>
      <c r="H56">
        <v>0</v>
      </c>
      <c r="I56">
        <v>0</v>
      </c>
    </row>
    <row r="57" spans="3:9" x14ac:dyDescent="0.25">
      <c r="C57" s="8" t="s">
        <v>27</v>
      </c>
      <c r="D57" s="8" t="s">
        <v>100</v>
      </c>
      <c r="E57" s="8" t="s">
        <v>35</v>
      </c>
      <c r="F57" s="8">
        <v>0</v>
      </c>
      <c r="G57" s="8">
        <v>0</v>
      </c>
      <c r="H57">
        <v>0</v>
      </c>
      <c r="I57">
        <v>0</v>
      </c>
    </row>
    <row r="58" spans="3:9" x14ac:dyDescent="0.25">
      <c r="C58" s="8" t="s">
        <v>27</v>
      </c>
      <c r="D58" s="8" t="s">
        <v>101</v>
      </c>
      <c r="E58" s="8" t="s">
        <v>40</v>
      </c>
      <c r="F58" s="8">
        <v>0</v>
      </c>
      <c r="G58" s="8">
        <v>0</v>
      </c>
      <c r="H58">
        <v>0</v>
      </c>
      <c r="I58">
        <v>0</v>
      </c>
    </row>
    <row r="59" spans="3:9" x14ac:dyDescent="0.25">
      <c r="C59" s="8" t="s">
        <v>27</v>
      </c>
      <c r="D59" s="8" t="s">
        <v>101</v>
      </c>
      <c r="E59" s="8" t="s">
        <v>34</v>
      </c>
      <c r="F59" s="8">
        <v>0</v>
      </c>
      <c r="G59" s="8">
        <v>0</v>
      </c>
      <c r="H59">
        <v>0</v>
      </c>
      <c r="I59">
        <v>0</v>
      </c>
    </row>
    <row r="60" spans="3:9" x14ac:dyDescent="0.25">
      <c r="C60" s="8" t="s">
        <v>27</v>
      </c>
      <c r="D60" s="8" t="s">
        <v>101</v>
      </c>
      <c r="E60" s="8" t="s">
        <v>35</v>
      </c>
      <c r="F60" s="8">
        <v>0</v>
      </c>
      <c r="G60" s="8">
        <v>0</v>
      </c>
      <c r="H60">
        <v>0</v>
      </c>
      <c r="I60">
        <v>0</v>
      </c>
    </row>
    <row r="61" spans="3:9" x14ac:dyDescent="0.25">
      <c r="C61" s="8" t="s">
        <v>27</v>
      </c>
      <c r="D61" s="8" t="s">
        <v>102</v>
      </c>
      <c r="E61" s="8" t="s">
        <v>40</v>
      </c>
      <c r="F61" s="8">
        <v>0</v>
      </c>
      <c r="G61" s="8">
        <v>0</v>
      </c>
      <c r="H61">
        <v>0</v>
      </c>
      <c r="I61">
        <v>0</v>
      </c>
    </row>
    <row r="62" spans="3:9" x14ac:dyDescent="0.25">
      <c r="C62" s="8" t="s">
        <v>27</v>
      </c>
      <c r="D62" s="8" t="s">
        <v>102</v>
      </c>
      <c r="E62" s="8" t="s">
        <v>34</v>
      </c>
      <c r="F62" s="8">
        <v>0</v>
      </c>
      <c r="G62" s="8">
        <v>0</v>
      </c>
      <c r="H62">
        <v>0</v>
      </c>
      <c r="I62">
        <v>0</v>
      </c>
    </row>
    <row r="63" spans="3:9" x14ac:dyDescent="0.25">
      <c r="C63" s="8" t="s">
        <v>27</v>
      </c>
      <c r="D63" s="8" t="s">
        <v>102</v>
      </c>
      <c r="E63" s="8" t="s">
        <v>35</v>
      </c>
      <c r="F63" s="8">
        <v>0</v>
      </c>
      <c r="G63" s="8">
        <v>0</v>
      </c>
      <c r="H63">
        <v>0</v>
      </c>
      <c r="I63">
        <v>0</v>
      </c>
    </row>
    <row r="64" spans="3:9" x14ac:dyDescent="0.25">
      <c r="C64" s="8" t="s">
        <v>27</v>
      </c>
      <c r="D64" s="8" t="s">
        <v>103</v>
      </c>
      <c r="E64" s="8" t="s">
        <v>40</v>
      </c>
      <c r="F64" s="8">
        <v>0</v>
      </c>
      <c r="G64" s="8">
        <v>0</v>
      </c>
      <c r="H64">
        <v>0</v>
      </c>
      <c r="I64">
        <v>0</v>
      </c>
    </row>
    <row r="65" spans="3:9" x14ac:dyDescent="0.25">
      <c r="C65" s="8" t="s">
        <v>27</v>
      </c>
      <c r="D65" s="8" t="s">
        <v>103</v>
      </c>
      <c r="E65" s="8" t="s">
        <v>34</v>
      </c>
      <c r="F65" s="8">
        <v>0</v>
      </c>
      <c r="G65" s="8">
        <v>0</v>
      </c>
      <c r="H65">
        <v>0</v>
      </c>
      <c r="I65">
        <v>0</v>
      </c>
    </row>
    <row r="66" spans="3:9" x14ac:dyDescent="0.25">
      <c r="C66" s="8" t="s">
        <v>27</v>
      </c>
      <c r="D66" s="8" t="s">
        <v>103</v>
      </c>
      <c r="E66" s="8" t="s">
        <v>35</v>
      </c>
      <c r="F66" s="8">
        <v>0</v>
      </c>
      <c r="G66" s="8">
        <v>0</v>
      </c>
      <c r="H66">
        <v>0</v>
      </c>
      <c r="I66">
        <v>0</v>
      </c>
    </row>
    <row r="67" spans="3:9" x14ac:dyDescent="0.25">
      <c r="C67" s="8" t="s">
        <v>27</v>
      </c>
      <c r="D67" s="8" t="s">
        <v>104</v>
      </c>
      <c r="E67" s="8" t="s">
        <v>40</v>
      </c>
      <c r="F67" s="8">
        <v>0</v>
      </c>
      <c r="G67" s="8">
        <v>0</v>
      </c>
      <c r="H67">
        <v>0</v>
      </c>
      <c r="I67">
        <v>0</v>
      </c>
    </row>
    <row r="68" spans="3:9" x14ac:dyDescent="0.25">
      <c r="C68" s="8" t="s">
        <v>27</v>
      </c>
      <c r="D68" s="8" t="s">
        <v>104</v>
      </c>
      <c r="E68" s="8" t="s">
        <v>34</v>
      </c>
      <c r="F68" s="8">
        <v>0</v>
      </c>
      <c r="G68" s="8">
        <v>0</v>
      </c>
      <c r="H68">
        <v>0</v>
      </c>
      <c r="I68">
        <v>0</v>
      </c>
    </row>
    <row r="69" spans="3:9" x14ac:dyDescent="0.25">
      <c r="C69" s="8" t="s">
        <v>27</v>
      </c>
      <c r="D69" s="8" t="s">
        <v>104</v>
      </c>
      <c r="E69" s="8" t="s">
        <v>35</v>
      </c>
      <c r="F69" s="8">
        <v>0</v>
      </c>
      <c r="G69" s="8">
        <v>0</v>
      </c>
      <c r="H69">
        <v>0</v>
      </c>
      <c r="I69">
        <v>0</v>
      </c>
    </row>
    <row r="70" spans="3:9" x14ac:dyDescent="0.25">
      <c r="C70" s="8" t="s">
        <v>27</v>
      </c>
      <c r="D70" s="8" t="s">
        <v>105</v>
      </c>
      <c r="E70" s="8" t="s">
        <v>40</v>
      </c>
      <c r="F70" s="8">
        <v>0</v>
      </c>
      <c r="G70" s="8">
        <v>0</v>
      </c>
      <c r="H70">
        <v>0</v>
      </c>
      <c r="I70">
        <v>0</v>
      </c>
    </row>
    <row r="71" spans="3:9" x14ac:dyDescent="0.25">
      <c r="C71" s="8" t="s">
        <v>27</v>
      </c>
      <c r="D71" s="8" t="s">
        <v>105</v>
      </c>
      <c r="E71" s="8" t="s">
        <v>34</v>
      </c>
      <c r="F71" s="8">
        <v>0</v>
      </c>
      <c r="G71" s="8">
        <v>0</v>
      </c>
      <c r="H71">
        <v>0</v>
      </c>
      <c r="I71">
        <v>0</v>
      </c>
    </row>
    <row r="72" spans="3:9" x14ac:dyDescent="0.25">
      <c r="C72" s="8" t="s">
        <v>27</v>
      </c>
      <c r="D72" s="8" t="s">
        <v>105</v>
      </c>
      <c r="E72" s="8" t="s">
        <v>35</v>
      </c>
      <c r="F72" s="8">
        <v>0</v>
      </c>
      <c r="G72" s="8">
        <v>0</v>
      </c>
      <c r="H72">
        <v>0</v>
      </c>
      <c r="I72">
        <v>0</v>
      </c>
    </row>
    <row r="73" spans="3:9" x14ac:dyDescent="0.25">
      <c r="C73" s="8" t="s">
        <v>27</v>
      </c>
      <c r="D73" s="8" t="s">
        <v>106</v>
      </c>
      <c r="E73" s="8" t="s">
        <v>40</v>
      </c>
      <c r="F73" s="8">
        <v>0</v>
      </c>
      <c r="G73" s="8">
        <v>0</v>
      </c>
      <c r="H73">
        <v>0</v>
      </c>
      <c r="I73">
        <v>0</v>
      </c>
    </row>
    <row r="74" spans="3:9" x14ac:dyDescent="0.25">
      <c r="C74" s="8" t="s">
        <v>27</v>
      </c>
      <c r="D74" s="8" t="s">
        <v>106</v>
      </c>
      <c r="E74" s="8" t="s">
        <v>34</v>
      </c>
      <c r="F74" s="8">
        <v>0</v>
      </c>
      <c r="G74" s="8">
        <v>0</v>
      </c>
      <c r="H74">
        <v>0</v>
      </c>
      <c r="I74">
        <v>0</v>
      </c>
    </row>
    <row r="75" spans="3:9" x14ac:dyDescent="0.25">
      <c r="C75" s="8" t="s">
        <v>27</v>
      </c>
      <c r="D75" s="8" t="s">
        <v>106</v>
      </c>
      <c r="E75" s="8" t="s">
        <v>35</v>
      </c>
      <c r="F75" s="8">
        <v>0</v>
      </c>
      <c r="G75" s="8">
        <v>0</v>
      </c>
      <c r="H75">
        <v>0</v>
      </c>
      <c r="I75">
        <v>0</v>
      </c>
    </row>
    <row r="76" spans="3:9" x14ac:dyDescent="0.25">
      <c r="C76" s="8" t="s">
        <v>27</v>
      </c>
      <c r="D76" s="8" t="s">
        <v>107</v>
      </c>
      <c r="E76" s="8" t="s">
        <v>40</v>
      </c>
      <c r="F76" s="8">
        <v>0</v>
      </c>
      <c r="G76" s="8">
        <v>0</v>
      </c>
      <c r="H76">
        <v>0</v>
      </c>
      <c r="I76">
        <v>0</v>
      </c>
    </row>
    <row r="77" spans="3:9" x14ac:dyDescent="0.25">
      <c r="C77" s="8" t="s">
        <v>27</v>
      </c>
      <c r="D77" s="8" t="s">
        <v>107</v>
      </c>
      <c r="E77" s="8" t="s">
        <v>34</v>
      </c>
      <c r="F77" s="8">
        <v>0</v>
      </c>
      <c r="G77" s="8">
        <v>0</v>
      </c>
      <c r="H77">
        <v>0</v>
      </c>
      <c r="I77">
        <v>0</v>
      </c>
    </row>
    <row r="78" spans="3:9" x14ac:dyDescent="0.25">
      <c r="C78" s="8" t="s">
        <v>27</v>
      </c>
      <c r="D78" s="8" t="s">
        <v>107</v>
      </c>
      <c r="E78" s="8" t="s">
        <v>35</v>
      </c>
      <c r="F78" s="8">
        <v>0</v>
      </c>
      <c r="G78" s="8">
        <v>0</v>
      </c>
      <c r="H78">
        <v>0</v>
      </c>
      <c r="I78">
        <v>0</v>
      </c>
    </row>
    <row r="79" spans="3:9" x14ac:dyDescent="0.25">
      <c r="C79" s="8" t="s">
        <v>27</v>
      </c>
      <c r="D79" s="8" t="s">
        <v>108</v>
      </c>
      <c r="E79" s="8" t="s">
        <v>40</v>
      </c>
      <c r="F79" s="8">
        <v>0</v>
      </c>
      <c r="G79" s="8">
        <v>0</v>
      </c>
      <c r="H79">
        <v>0</v>
      </c>
      <c r="I79">
        <v>0</v>
      </c>
    </row>
    <row r="80" spans="3:9" x14ac:dyDescent="0.25">
      <c r="C80" s="8" t="s">
        <v>27</v>
      </c>
      <c r="D80" s="8" t="s">
        <v>108</v>
      </c>
      <c r="E80" s="8" t="s">
        <v>34</v>
      </c>
      <c r="F80" s="8">
        <v>0</v>
      </c>
      <c r="G80" s="8">
        <v>0</v>
      </c>
      <c r="H80">
        <v>0</v>
      </c>
      <c r="I80">
        <v>0</v>
      </c>
    </row>
    <row r="81" spans="3:9" x14ac:dyDescent="0.25">
      <c r="C81" s="8" t="s">
        <v>27</v>
      </c>
      <c r="D81" s="8" t="s">
        <v>108</v>
      </c>
      <c r="E81" s="8" t="s">
        <v>35</v>
      </c>
      <c r="F81" s="8">
        <v>0</v>
      </c>
      <c r="G81" s="8">
        <v>0</v>
      </c>
      <c r="H81">
        <v>0</v>
      </c>
      <c r="I81">
        <v>0</v>
      </c>
    </row>
    <row r="82" spans="3:9" x14ac:dyDescent="0.25">
      <c r="C82" s="8" t="s">
        <v>27</v>
      </c>
      <c r="D82" s="8" t="s">
        <v>100</v>
      </c>
      <c r="E82" s="8" t="s">
        <v>36</v>
      </c>
      <c r="F82" s="8">
        <v>0</v>
      </c>
      <c r="G82" s="8">
        <v>0</v>
      </c>
      <c r="H82">
        <v>0</v>
      </c>
      <c r="I82">
        <v>0</v>
      </c>
    </row>
    <row r="83" spans="3:9" x14ac:dyDescent="0.25">
      <c r="C83" s="8" t="s">
        <v>27</v>
      </c>
      <c r="D83" s="8" t="s">
        <v>100</v>
      </c>
      <c r="E83" s="8" t="s">
        <v>41</v>
      </c>
      <c r="F83" s="8">
        <v>0</v>
      </c>
      <c r="G83" s="8">
        <v>0</v>
      </c>
      <c r="H83">
        <v>0</v>
      </c>
      <c r="I83">
        <v>0</v>
      </c>
    </row>
    <row r="84" spans="3:9" x14ac:dyDescent="0.25">
      <c r="C84" s="8" t="s">
        <v>27</v>
      </c>
      <c r="D84" s="8" t="s">
        <v>101</v>
      </c>
      <c r="E84" s="8" t="s">
        <v>36</v>
      </c>
      <c r="F84" s="8">
        <v>0</v>
      </c>
      <c r="G84" s="8">
        <v>0</v>
      </c>
      <c r="H84">
        <v>0</v>
      </c>
      <c r="I84">
        <v>0</v>
      </c>
    </row>
    <row r="85" spans="3:9" x14ac:dyDescent="0.25">
      <c r="C85" s="8" t="s">
        <v>27</v>
      </c>
      <c r="D85" s="8" t="s">
        <v>101</v>
      </c>
      <c r="E85" s="8" t="s">
        <v>41</v>
      </c>
      <c r="F85" s="8">
        <v>0</v>
      </c>
      <c r="G85" s="8">
        <v>0</v>
      </c>
      <c r="H85">
        <v>0</v>
      </c>
      <c r="I85">
        <v>0</v>
      </c>
    </row>
    <row r="86" spans="3:9" x14ac:dyDescent="0.25">
      <c r="C86" s="8" t="s">
        <v>27</v>
      </c>
      <c r="D86" s="8" t="s">
        <v>102</v>
      </c>
      <c r="E86" s="8" t="s">
        <v>36</v>
      </c>
      <c r="F86" s="8">
        <v>0</v>
      </c>
      <c r="G86" s="8">
        <v>0</v>
      </c>
      <c r="H86">
        <v>0</v>
      </c>
      <c r="I86">
        <v>0</v>
      </c>
    </row>
    <row r="87" spans="3:9" x14ac:dyDescent="0.25">
      <c r="C87" s="8" t="s">
        <v>27</v>
      </c>
      <c r="D87" s="8" t="s">
        <v>102</v>
      </c>
      <c r="E87" s="8" t="s">
        <v>41</v>
      </c>
      <c r="F87" s="8">
        <v>0</v>
      </c>
      <c r="G87" s="8">
        <v>0</v>
      </c>
      <c r="H87">
        <v>0</v>
      </c>
      <c r="I87">
        <v>0</v>
      </c>
    </row>
    <row r="88" spans="3:9" x14ac:dyDescent="0.25">
      <c r="C88" s="8" t="s">
        <v>27</v>
      </c>
      <c r="D88" s="8" t="s">
        <v>103</v>
      </c>
      <c r="E88" s="8" t="s">
        <v>36</v>
      </c>
      <c r="F88" s="8">
        <v>0</v>
      </c>
      <c r="G88" s="8">
        <v>0</v>
      </c>
      <c r="H88">
        <v>0</v>
      </c>
      <c r="I88">
        <v>0</v>
      </c>
    </row>
    <row r="89" spans="3:9" x14ac:dyDescent="0.25">
      <c r="C89" s="8" t="s">
        <v>27</v>
      </c>
      <c r="D89" s="8" t="s">
        <v>103</v>
      </c>
      <c r="E89" s="8" t="s">
        <v>41</v>
      </c>
      <c r="F89" s="8">
        <v>0</v>
      </c>
      <c r="G89" s="8">
        <v>0</v>
      </c>
      <c r="H89">
        <v>0</v>
      </c>
      <c r="I89">
        <v>0</v>
      </c>
    </row>
    <row r="90" spans="3:9" x14ac:dyDescent="0.25">
      <c r="C90" s="8" t="s">
        <v>27</v>
      </c>
      <c r="D90" s="8" t="s">
        <v>104</v>
      </c>
      <c r="E90" s="8" t="s">
        <v>36</v>
      </c>
      <c r="F90" s="8">
        <v>0</v>
      </c>
      <c r="G90" s="8">
        <v>0</v>
      </c>
      <c r="H90">
        <v>0</v>
      </c>
      <c r="I90">
        <v>0</v>
      </c>
    </row>
    <row r="91" spans="3:9" x14ac:dyDescent="0.25">
      <c r="C91" s="8" t="s">
        <v>27</v>
      </c>
      <c r="D91" s="8" t="s">
        <v>104</v>
      </c>
      <c r="E91" s="8" t="s">
        <v>41</v>
      </c>
      <c r="F91" s="8">
        <v>0</v>
      </c>
      <c r="G91" s="8">
        <v>0</v>
      </c>
      <c r="H91">
        <v>0</v>
      </c>
      <c r="I91">
        <v>0</v>
      </c>
    </row>
    <row r="92" spans="3:9" x14ac:dyDescent="0.25">
      <c r="C92" s="8" t="s">
        <v>27</v>
      </c>
      <c r="D92" s="8" t="s">
        <v>105</v>
      </c>
      <c r="E92" s="8" t="s">
        <v>36</v>
      </c>
      <c r="F92" s="8">
        <v>0</v>
      </c>
      <c r="G92" s="8">
        <v>0</v>
      </c>
      <c r="H92">
        <v>0</v>
      </c>
      <c r="I92">
        <v>0</v>
      </c>
    </row>
    <row r="93" spans="3:9" x14ac:dyDescent="0.25">
      <c r="C93" s="8" t="s">
        <v>27</v>
      </c>
      <c r="D93" s="8" t="s">
        <v>105</v>
      </c>
      <c r="E93" s="8" t="s">
        <v>41</v>
      </c>
      <c r="F93" s="8">
        <v>0</v>
      </c>
      <c r="G93" s="8">
        <v>0</v>
      </c>
      <c r="H93">
        <v>0</v>
      </c>
      <c r="I93">
        <v>0</v>
      </c>
    </row>
    <row r="94" spans="3:9" x14ac:dyDescent="0.25">
      <c r="C94" s="8" t="s">
        <v>27</v>
      </c>
      <c r="D94" s="8" t="s">
        <v>106</v>
      </c>
      <c r="E94" s="8" t="s">
        <v>36</v>
      </c>
      <c r="F94" s="8">
        <v>0</v>
      </c>
      <c r="G94" s="8">
        <v>0</v>
      </c>
      <c r="H94">
        <v>0</v>
      </c>
      <c r="I94">
        <v>0</v>
      </c>
    </row>
    <row r="95" spans="3:9" x14ac:dyDescent="0.25">
      <c r="C95" s="8" t="s">
        <v>27</v>
      </c>
      <c r="D95" s="8" t="s">
        <v>106</v>
      </c>
      <c r="E95" s="8" t="s">
        <v>41</v>
      </c>
      <c r="F95" s="8">
        <v>0</v>
      </c>
      <c r="G95" s="8">
        <v>0</v>
      </c>
      <c r="H95">
        <v>0</v>
      </c>
      <c r="I95">
        <v>0</v>
      </c>
    </row>
    <row r="96" spans="3:9" x14ac:dyDescent="0.25">
      <c r="C96" s="8" t="s">
        <v>27</v>
      </c>
      <c r="D96" s="8" t="s">
        <v>107</v>
      </c>
      <c r="E96" s="8" t="s">
        <v>36</v>
      </c>
      <c r="F96" s="8">
        <v>0</v>
      </c>
      <c r="G96" s="8">
        <v>0</v>
      </c>
      <c r="H96">
        <v>0</v>
      </c>
      <c r="I96">
        <v>0</v>
      </c>
    </row>
    <row r="97" spans="3:9" x14ac:dyDescent="0.25">
      <c r="C97" s="8" t="s">
        <v>27</v>
      </c>
      <c r="D97" s="8" t="s">
        <v>107</v>
      </c>
      <c r="E97" s="8" t="s">
        <v>41</v>
      </c>
      <c r="F97" s="8">
        <v>0</v>
      </c>
      <c r="G97" s="8">
        <v>0</v>
      </c>
      <c r="H97">
        <v>0</v>
      </c>
      <c r="I97">
        <v>0</v>
      </c>
    </row>
    <row r="98" spans="3:9" x14ac:dyDescent="0.25">
      <c r="C98" s="8" t="s">
        <v>27</v>
      </c>
      <c r="D98" s="8" t="s">
        <v>108</v>
      </c>
      <c r="E98" s="8" t="s">
        <v>36</v>
      </c>
      <c r="F98" s="8">
        <v>0</v>
      </c>
      <c r="G98" s="8">
        <v>0</v>
      </c>
      <c r="H98">
        <v>0</v>
      </c>
      <c r="I98">
        <v>0</v>
      </c>
    </row>
    <row r="99" spans="3:9" x14ac:dyDescent="0.25">
      <c r="C99" s="8" t="s">
        <v>27</v>
      </c>
      <c r="D99" s="8" t="s">
        <v>108</v>
      </c>
      <c r="E99" s="8" t="s">
        <v>41</v>
      </c>
      <c r="F99" s="8">
        <v>0</v>
      </c>
      <c r="G99" s="8">
        <v>0</v>
      </c>
      <c r="H99">
        <v>0</v>
      </c>
      <c r="I99">
        <v>0</v>
      </c>
    </row>
    <row r="100" spans="3:9" x14ac:dyDescent="0.25">
      <c r="C100" s="8" t="s">
        <v>27</v>
      </c>
      <c r="D100" s="8" t="s">
        <v>100</v>
      </c>
      <c r="E100" s="8" t="s">
        <v>94</v>
      </c>
      <c r="F100" s="8">
        <v>0</v>
      </c>
      <c r="G100" s="8">
        <v>0</v>
      </c>
      <c r="H100">
        <v>0</v>
      </c>
      <c r="I100">
        <v>0</v>
      </c>
    </row>
    <row r="101" spans="3:9" x14ac:dyDescent="0.25">
      <c r="C101" s="8" t="s">
        <v>27</v>
      </c>
      <c r="D101" s="8" t="s">
        <v>100</v>
      </c>
      <c r="E101" s="8" t="s">
        <v>39</v>
      </c>
      <c r="F101" s="8">
        <v>0</v>
      </c>
      <c r="G101" s="8">
        <v>0</v>
      </c>
      <c r="H101">
        <v>0</v>
      </c>
      <c r="I101">
        <v>0</v>
      </c>
    </row>
    <row r="102" spans="3:9" x14ac:dyDescent="0.25">
      <c r="C102" s="8" t="s">
        <v>27</v>
      </c>
      <c r="D102" s="8" t="s">
        <v>101</v>
      </c>
      <c r="E102" s="8" t="s">
        <v>94</v>
      </c>
      <c r="F102" s="8">
        <v>0</v>
      </c>
      <c r="G102" s="8">
        <v>0</v>
      </c>
      <c r="H102">
        <v>0</v>
      </c>
      <c r="I102">
        <v>0</v>
      </c>
    </row>
    <row r="103" spans="3:9" x14ac:dyDescent="0.25">
      <c r="C103" s="8" t="s">
        <v>27</v>
      </c>
      <c r="D103" s="8" t="s">
        <v>101</v>
      </c>
      <c r="E103" s="8" t="s">
        <v>39</v>
      </c>
      <c r="F103" s="8">
        <v>0</v>
      </c>
      <c r="G103" s="8">
        <v>0</v>
      </c>
      <c r="H103">
        <v>0</v>
      </c>
      <c r="I103">
        <v>0</v>
      </c>
    </row>
    <row r="104" spans="3:9" x14ac:dyDescent="0.25">
      <c r="C104" s="8" t="s">
        <v>27</v>
      </c>
      <c r="D104" s="8" t="s">
        <v>102</v>
      </c>
      <c r="E104" s="8" t="s">
        <v>94</v>
      </c>
      <c r="F104" s="8">
        <v>0</v>
      </c>
      <c r="G104" s="8">
        <v>0</v>
      </c>
      <c r="H104">
        <v>0</v>
      </c>
      <c r="I104">
        <v>0</v>
      </c>
    </row>
    <row r="105" spans="3:9" x14ac:dyDescent="0.25">
      <c r="C105" s="8" t="s">
        <v>27</v>
      </c>
      <c r="D105" s="8" t="s">
        <v>102</v>
      </c>
      <c r="E105" s="8" t="s">
        <v>39</v>
      </c>
      <c r="F105" s="8">
        <v>0</v>
      </c>
      <c r="G105" s="8">
        <v>0</v>
      </c>
      <c r="H105">
        <v>0</v>
      </c>
      <c r="I105">
        <v>0</v>
      </c>
    </row>
    <row r="106" spans="3:9" x14ac:dyDescent="0.25">
      <c r="C106" s="8" t="s">
        <v>27</v>
      </c>
      <c r="D106" s="8" t="s">
        <v>103</v>
      </c>
      <c r="E106" s="8" t="s">
        <v>94</v>
      </c>
      <c r="F106" s="8">
        <v>0</v>
      </c>
      <c r="G106" s="8">
        <v>0</v>
      </c>
      <c r="H106">
        <v>0</v>
      </c>
      <c r="I106">
        <v>0</v>
      </c>
    </row>
    <row r="107" spans="3:9" x14ac:dyDescent="0.25">
      <c r="C107" s="8" t="s">
        <v>27</v>
      </c>
      <c r="D107" s="8" t="s">
        <v>103</v>
      </c>
      <c r="E107" s="8" t="s">
        <v>39</v>
      </c>
      <c r="F107" s="8">
        <v>0</v>
      </c>
      <c r="G107" s="8">
        <v>0</v>
      </c>
      <c r="H107">
        <v>0</v>
      </c>
      <c r="I107">
        <v>0</v>
      </c>
    </row>
    <row r="108" spans="3:9" x14ac:dyDescent="0.25">
      <c r="C108" s="8" t="s">
        <v>27</v>
      </c>
      <c r="D108" s="8" t="s">
        <v>104</v>
      </c>
      <c r="E108" s="8" t="s">
        <v>94</v>
      </c>
      <c r="F108" s="8">
        <v>0</v>
      </c>
      <c r="G108" s="8">
        <v>0</v>
      </c>
      <c r="H108">
        <v>0</v>
      </c>
      <c r="I108">
        <v>0</v>
      </c>
    </row>
    <row r="109" spans="3:9" x14ac:dyDescent="0.25">
      <c r="C109" s="8" t="s">
        <v>27</v>
      </c>
      <c r="D109" s="8" t="s">
        <v>104</v>
      </c>
      <c r="E109" s="8" t="s">
        <v>39</v>
      </c>
      <c r="F109" s="8">
        <v>0</v>
      </c>
      <c r="G109" s="8">
        <v>0</v>
      </c>
      <c r="H109">
        <v>0</v>
      </c>
      <c r="I109">
        <v>0</v>
      </c>
    </row>
    <row r="110" spans="3:9" x14ac:dyDescent="0.25">
      <c r="C110" s="8" t="s">
        <v>27</v>
      </c>
      <c r="D110" s="8" t="s">
        <v>105</v>
      </c>
      <c r="E110" s="8" t="s">
        <v>94</v>
      </c>
      <c r="F110" s="8">
        <v>0</v>
      </c>
      <c r="G110" s="8">
        <v>0</v>
      </c>
      <c r="H110">
        <v>0</v>
      </c>
      <c r="I110">
        <v>0</v>
      </c>
    </row>
    <row r="111" spans="3:9" x14ac:dyDescent="0.25">
      <c r="C111" s="8" t="s">
        <v>27</v>
      </c>
      <c r="D111" s="8" t="s">
        <v>105</v>
      </c>
      <c r="E111" s="8" t="s">
        <v>39</v>
      </c>
      <c r="F111" s="8">
        <v>0</v>
      </c>
      <c r="G111" s="8">
        <v>0</v>
      </c>
      <c r="H111">
        <v>0</v>
      </c>
      <c r="I111">
        <v>0</v>
      </c>
    </row>
    <row r="112" spans="3:9" x14ac:dyDescent="0.25">
      <c r="C112" s="8" t="s">
        <v>27</v>
      </c>
      <c r="D112" s="8" t="s">
        <v>106</v>
      </c>
      <c r="E112" s="8" t="s">
        <v>94</v>
      </c>
      <c r="F112" s="8">
        <v>0</v>
      </c>
      <c r="G112" s="8">
        <v>0</v>
      </c>
      <c r="H112">
        <v>0</v>
      </c>
      <c r="I112">
        <v>0</v>
      </c>
    </row>
    <row r="113" spans="3:9" x14ac:dyDescent="0.25">
      <c r="C113" s="8" t="s">
        <v>27</v>
      </c>
      <c r="D113" s="8" t="s">
        <v>106</v>
      </c>
      <c r="E113" s="8" t="s">
        <v>39</v>
      </c>
      <c r="F113" s="8">
        <v>0</v>
      </c>
      <c r="G113" s="8">
        <v>0</v>
      </c>
      <c r="H113">
        <v>0</v>
      </c>
      <c r="I113">
        <v>0</v>
      </c>
    </row>
    <row r="114" spans="3:9" x14ac:dyDescent="0.25">
      <c r="C114" s="8" t="s">
        <v>27</v>
      </c>
      <c r="D114" s="8" t="s">
        <v>107</v>
      </c>
      <c r="E114" s="8" t="s">
        <v>94</v>
      </c>
      <c r="F114" s="8">
        <v>0</v>
      </c>
      <c r="G114" s="8">
        <v>0</v>
      </c>
      <c r="H114">
        <v>0</v>
      </c>
      <c r="I114">
        <v>0</v>
      </c>
    </row>
    <row r="115" spans="3:9" x14ac:dyDescent="0.25">
      <c r="C115" s="8" t="s">
        <v>27</v>
      </c>
      <c r="D115" s="8" t="s">
        <v>107</v>
      </c>
      <c r="E115" s="8" t="s">
        <v>39</v>
      </c>
      <c r="F115" s="8">
        <v>0</v>
      </c>
      <c r="G115" s="8">
        <v>0</v>
      </c>
      <c r="H115">
        <v>0</v>
      </c>
      <c r="I115">
        <v>0</v>
      </c>
    </row>
    <row r="116" spans="3:9" x14ac:dyDescent="0.25">
      <c r="C116" s="8" t="s">
        <v>27</v>
      </c>
      <c r="D116" s="8" t="s">
        <v>108</v>
      </c>
      <c r="E116" s="8" t="s">
        <v>94</v>
      </c>
      <c r="F116" s="8">
        <v>0</v>
      </c>
      <c r="G116" s="8">
        <v>0</v>
      </c>
      <c r="H116">
        <v>0</v>
      </c>
      <c r="I116">
        <v>0</v>
      </c>
    </row>
    <row r="117" spans="3:9" x14ac:dyDescent="0.25">
      <c r="C117" s="8" t="s">
        <v>27</v>
      </c>
      <c r="D117" s="8" t="s">
        <v>108</v>
      </c>
      <c r="E117" s="8" t="s">
        <v>39</v>
      </c>
      <c r="F117" s="8">
        <v>0</v>
      </c>
      <c r="G117" s="8">
        <v>0</v>
      </c>
      <c r="H117">
        <v>0</v>
      </c>
      <c r="I117">
        <v>0</v>
      </c>
    </row>
    <row r="118" spans="3:9" x14ac:dyDescent="0.25">
      <c r="C118" s="8" t="s">
        <v>27</v>
      </c>
      <c r="D118" s="8" t="s">
        <v>100</v>
      </c>
      <c r="E118" s="8" t="s">
        <v>38</v>
      </c>
      <c r="F118" s="8">
        <v>0</v>
      </c>
      <c r="G118" s="8">
        <v>0</v>
      </c>
      <c r="H118">
        <v>0</v>
      </c>
      <c r="I118">
        <v>0</v>
      </c>
    </row>
    <row r="119" spans="3:9" x14ac:dyDescent="0.25">
      <c r="C119" s="8" t="s">
        <v>27</v>
      </c>
      <c r="D119" s="8" t="s">
        <v>101</v>
      </c>
      <c r="E119" s="8" t="s">
        <v>38</v>
      </c>
      <c r="F119" s="8">
        <v>0</v>
      </c>
      <c r="G119" s="8">
        <v>0</v>
      </c>
      <c r="H119">
        <v>0</v>
      </c>
      <c r="I119">
        <v>0</v>
      </c>
    </row>
    <row r="120" spans="3:9" x14ac:dyDescent="0.25">
      <c r="C120" s="8" t="s">
        <v>27</v>
      </c>
      <c r="D120" s="8" t="s">
        <v>102</v>
      </c>
      <c r="E120" s="8" t="s">
        <v>38</v>
      </c>
      <c r="F120" s="8">
        <v>0</v>
      </c>
      <c r="G120" s="8">
        <v>0</v>
      </c>
      <c r="H120">
        <v>0</v>
      </c>
      <c r="I120">
        <v>0</v>
      </c>
    </row>
    <row r="121" spans="3:9" x14ac:dyDescent="0.25">
      <c r="C121" s="8" t="s">
        <v>27</v>
      </c>
      <c r="D121" s="8" t="s">
        <v>103</v>
      </c>
      <c r="E121" s="8" t="s">
        <v>38</v>
      </c>
      <c r="F121" s="8">
        <v>0</v>
      </c>
      <c r="G121" s="8">
        <v>0</v>
      </c>
      <c r="H121">
        <v>0</v>
      </c>
      <c r="I121">
        <v>0</v>
      </c>
    </row>
    <row r="122" spans="3:9" x14ac:dyDescent="0.25">
      <c r="C122" s="8" t="s">
        <v>27</v>
      </c>
      <c r="D122" s="8" t="s">
        <v>104</v>
      </c>
      <c r="E122" s="8" t="s">
        <v>38</v>
      </c>
      <c r="F122" s="8">
        <v>0</v>
      </c>
      <c r="G122" s="8">
        <v>0</v>
      </c>
      <c r="H122">
        <v>0</v>
      </c>
      <c r="I122">
        <v>0</v>
      </c>
    </row>
    <row r="123" spans="3:9" x14ac:dyDescent="0.25">
      <c r="C123" s="8" t="s">
        <v>27</v>
      </c>
      <c r="D123" s="8" t="s">
        <v>105</v>
      </c>
      <c r="E123" s="8" t="s">
        <v>38</v>
      </c>
      <c r="F123" s="8">
        <v>0</v>
      </c>
      <c r="G123" s="8">
        <v>0</v>
      </c>
      <c r="H123">
        <v>0</v>
      </c>
      <c r="I123">
        <v>0</v>
      </c>
    </row>
    <row r="124" spans="3:9" x14ac:dyDescent="0.25">
      <c r="C124" s="8" t="s">
        <v>27</v>
      </c>
      <c r="D124" s="8" t="s">
        <v>106</v>
      </c>
      <c r="E124" s="8" t="s">
        <v>38</v>
      </c>
      <c r="F124" s="8">
        <v>0</v>
      </c>
      <c r="G124" s="8">
        <v>0</v>
      </c>
      <c r="H124">
        <v>0</v>
      </c>
      <c r="I124">
        <v>0</v>
      </c>
    </row>
    <row r="125" spans="3:9" x14ac:dyDescent="0.25">
      <c r="C125" s="8" t="s">
        <v>27</v>
      </c>
      <c r="D125" s="8" t="s">
        <v>107</v>
      </c>
      <c r="E125" s="8" t="s">
        <v>38</v>
      </c>
      <c r="F125" s="8">
        <v>0</v>
      </c>
      <c r="G125" s="8">
        <v>0</v>
      </c>
      <c r="H125">
        <v>0</v>
      </c>
      <c r="I125">
        <v>0</v>
      </c>
    </row>
    <row r="126" spans="3:9" x14ac:dyDescent="0.25">
      <c r="C126" s="8" t="s">
        <v>27</v>
      </c>
      <c r="D126" s="8" t="s">
        <v>108</v>
      </c>
      <c r="E126" s="8" t="s">
        <v>38</v>
      </c>
      <c r="F126" s="8">
        <v>0</v>
      </c>
      <c r="G126" s="8">
        <v>0</v>
      </c>
      <c r="H126">
        <v>0</v>
      </c>
      <c r="I126">
        <v>0</v>
      </c>
    </row>
    <row r="127" spans="3:9" x14ac:dyDescent="0.25">
      <c r="C127" s="8" t="s">
        <v>27</v>
      </c>
      <c r="D127" s="8" t="s">
        <v>100</v>
      </c>
      <c r="E127" s="8" t="s">
        <v>29</v>
      </c>
      <c r="F127" s="8">
        <v>0</v>
      </c>
      <c r="G127" s="8">
        <v>0</v>
      </c>
      <c r="H127">
        <v>0</v>
      </c>
      <c r="I127">
        <v>0</v>
      </c>
    </row>
    <row r="128" spans="3:9" x14ac:dyDescent="0.25">
      <c r="C128" s="8" t="s">
        <v>27</v>
      </c>
      <c r="D128" s="8" t="s">
        <v>100</v>
      </c>
      <c r="E128" s="8" t="s">
        <v>37</v>
      </c>
      <c r="F128" s="8">
        <v>0</v>
      </c>
      <c r="G128" s="8">
        <v>0</v>
      </c>
      <c r="H128">
        <v>0</v>
      </c>
      <c r="I128">
        <v>0</v>
      </c>
    </row>
    <row r="129" spans="3:9" x14ac:dyDescent="0.25">
      <c r="C129" s="8" t="s">
        <v>27</v>
      </c>
      <c r="D129" s="8" t="s">
        <v>101</v>
      </c>
      <c r="E129" s="8" t="s">
        <v>29</v>
      </c>
      <c r="F129" s="8">
        <v>0</v>
      </c>
      <c r="G129" s="8">
        <v>0</v>
      </c>
      <c r="H129">
        <v>0</v>
      </c>
      <c r="I129">
        <v>0</v>
      </c>
    </row>
    <row r="130" spans="3:9" x14ac:dyDescent="0.25">
      <c r="C130" s="8" t="s">
        <v>27</v>
      </c>
      <c r="D130" s="8" t="s">
        <v>101</v>
      </c>
      <c r="E130" s="8" t="s">
        <v>37</v>
      </c>
      <c r="F130" s="8">
        <v>0</v>
      </c>
      <c r="G130" s="8">
        <v>0</v>
      </c>
      <c r="H130">
        <v>0</v>
      </c>
      <c r="I130">
        <v>0</v>
      </c>
    </row>
    <row r="131" spans="3:9" x14ac:dyDescent="0.25">
      <c r="C131" s="8" t="s">
        <v>27</v>
      </c>
      <c r="D131" s="8" t="s">
        <v>102</v>
      </c>
      <c r="E131" s="8" t="s">
        <v>29</v>
      </c>
      <c r="F131" s="8">
        <v>0</v>
      </c>
      <c r="G131" s="8">
        <v>0</v>
      </c>
      <c r="H131">
        <v>0</v>
      </c>
      <c r="I131">
        <v>0</v>
      </c>
    </row>
    <row r="132" spans="3:9" x14ac:dyDescent="0.25">
      <c r="C132" s="8" t="s">
        <v>27</v>
      </c>
      <c r="D132" s="8" t="s">
        <v>102</v>
      </c>
      <c r="E132" s="8" t="s">
        <v>37</v>
      </c>
      <c r="F132" s="8">
        <v>0</v>
      </c>
      <c r="G132" s="8">
        <v>0</v>
      </c>
      <c r="H132">
        <v>0</v>
      </c>
      <c r="I132">
        <v>0</v>
      </c>
    </row>
    <row r="133" spans="3:9" x14ac:dyDescent="0.25">
      <c r="C133" s="8" t="s">
        <v>27</v>
      </c>
      <c r="D133" s="8" t="s">
        <v>103</v>
      </c>
      <c r="E133" s="8" t="s">
        <v>29</v>
      </c>
      <c r="F133" s="8">
        <v>0</v>
      </c>
      <c r="G133" s="8">
        <v>0</v>
      </c>
      <c r="H133">
        <v>0</v>
      </c>
      <c r="I133">
        <v>0</v>
      </c>
    </row>
    <row r="134" spans="3:9" x14ac:dyDescent="0.25">
      <c r="C134" s="8" t="s">
        <v>27</v>
      </c>
      <c r="D134" s="8" t="s">
        <v>103</v>
      </c>
      <c r="E134" s="8" t="s">
        <v>37</v>
      </c>
      <c r="F134" s="8">
        <v>0</v>
      </c>
      <c r="G134" s="8">
        <v>0</v>
      </c>
      <c r="H134">
        <v>0</v>
      </c>
      <c r="I134">
        <v>0</v>
      </c>
    </row>
    <row r="135" spans="3:9" x14ac:dyDescent="0.25">
      <c r="C135" s="8" t="s">
        <v>27</v>
      </c>
      <c r="D135" s="8" t="s">
        <v>104</v>
      </c>
      <c r="E135" s="8" t="s">
        <v>29</v>
      </c>
      <c r="F135" s="8">
        <v>0</v>
      </c>
      <c r="G135" s="8">
        <v>0</v>
      </c>
      <c r="H135">
        <v>0</v>
      </c>
      <c r="I135">
        <v>0</v>
      </c>
    </row>
    <row r="136" spans="3:9" x14ac:dyDescent="0.25">
      <c r="C136" s="8" t="s">
        <v>27</v>
      </c>
      <c r="D136" s="8" t="s">
        <v>104</v>
      </c>
      <c r="E136" s="8" t="s">
        <v>37</v>
      </c>
      <c r="F136" s="8">
        <v>0</v>
      </c>
      <c r="G136" s="8">
        <v>0</v>
      </c>
      <c r="H136">
        <v>0</v>
      </c>
      <c r="I136">
        <v>0</v>
      </c>
    </row>
    <row r="137" spans="3:9" x14ac:dyDescent="0.25">
      <c r="C137" s="8" t="s">
        <v>27</v>
      </c>
      <c r="D137" s="8" t="s">
        <v>105</v>
      </c>
      <c r="E137" s="8" t="s">
        <v>29</v>
      </c>
      <c r="F137" s="8">
        <v>0</v>
      </c>
      <c r="G137" s="8">
        <v>0</v>
      </c>
      <c r="H137">
        <v>0</v>
      </c>
      <c r="I137">
        <v>0</v>
      </c>
    </row>
    <row r="138" spans="3:9" x14ac:dyDescent="0.25">
      <c r="C138" s="8" t="s">
        <v>27</v>
      </c>
      <c r="D138" s="8" t="s">
        <v>105</v>
      </c>
      <c r="E138" s="8" t="s">
        <v>37</v>
      </c>
      <c r="F138" s="8">
        <v>0</v>
      </c>
      <c r="G138" s="8">
        <v>0</v>
      </c>
      <c r="H138">
        <v>0</v>
      </c>
      <c r="I138">
        <v>0</v>
      </c>
    </row>
    <row r="139" spans="3:9" x14ac:dyDescent="0.25">
      <c r="C139" s="8" t="s">
        <v>27</v>
      </c>
      <c r="D139" s="8" t="s">
        <v>106</v>
      </c>
      <c r="E139" s="8" t="s">
        <v>29</v>
      </c>
      <c r="F139" s="8">
        <v>0</v>
      </c>
      <c r="G139" s="8">
        <v>0</v>
      </c>
      <c r="H139">
        <v>0</v>
      </c>
      <c r="I139">
        <v>0</v>
      </c>
    </row>
    <row r="140" spans="3:9" x14ac:dyDescent="0.25">
      <c r="C140" s="8" t="s">
        <v>27</v>
      </c>
      <c r="D140" s="8" t="s">
        <v>106</v>
      </c>
      <c r="E140" s="8" t="s">
        <v>37</v>
      </c>
      <c r="F140" s="8">
        <v>0</v>
      </c>
      <c r="G140" s="8">
        <v>0</v>
      </c>
      <c r="H140">
        <v>0</v>
      </c>
      <c r="I140">
        <v>0</v>
      </c>
    </row>
    <row r="141" spans="3:9" x14ac:dyDescent="0.25">
      <c r="C141" s="8" t="s">
        <v>27</v>
      </c>
      <c r="D141" s="8" t="s">
        <v>107</v>
      </c>
      <c r="E141" s="8" t="s">
        <v>29</v>
      </c>
      <c r="F141" s="8">
        <v>0</v>
      </c>
      <c r="G141" s="8">
        <v>0</v>
      </c>
      <c r="H141">
        <v>0</v>
      </c>
      <c r="I141">
        <v>0</v>
      </c>
    </row>
    <row r="142" spans="3:9" x14ac:dyDescent="0.25">
      <c r="C142" s="8" t="s">
        <v>27</v>
      </c>
      <c r="D142" s="8" t="s">
        <v>107</v>
      </c>
      <c r="E142" s="8" t="s">
        <v>37</v>
      </c>
      <c r="F142" s="8">
        <v>0</v>
      </c>
      <c r="G142" s="8">
        <v>0</v>
      </c>
      <c r="H142">
        <v>0</v>
      </c>
      <c r="I142">
        <v>0</v>
      </c>
    </row>
    <row r="143" spans="3:9" x14ac:dyDescent="0.25">
      <c r="C143" s="8" t="s">
        <v>27</v>
      </c>
      <c r="D143" s="8" t="s">
        <v>108</v>
      </c>
      <c r="E143" s="8" t="s">
        <v>29</v>
      </c>
      <c r="F143" s="8">
        <v>0</v>
      </c>
      <c r="G143" s="8">
        <v>0</v>
      </c>
      <c r="H143">
        <v>0</v>
      </c>
      <c r="I143">
        <v>0</v>
      </c>
    </row>
    <row r="144" spans="3:9" x14ac:dyDescent="0.25">
      <c r="C144" s="8" t="s">
        <v>27</v>
      </c>
      <c r="D144" s="8" t="s">
        <v>108</v>
      </c>
      <c r="E144" s="8" t="s">
        <v>37</v>
      </c>
      <c r="F144" s="8">
        <v>0</v>
      </c>
      <c r="G144" s="8">
        <v>0</v>
      </c>
      <c r="H144">
        <v>0</v>
      </c>
      <c r="I144">
        <v>0</v>
      </c>
    </row>
    <row r="145" spans="3:9" x14ac:dyDescent="0.25">
      <c r="C145" s="8" t="s">
        <v>27</v>
      </c>
      <c r="D145" s="8" t="s">
        <v>99</v>
      </c>
      <c r="E145" s="8" t="s">
        <v>37</v>
      </c>
      <c r="F145" s="8">
        <v>0.97639311428302145</v>
      </c>
      <c r="G145" s="8">
        <v>0</v>
      </c>
      <c r="H145">
        <v>0</v>
      </c>
      <c r="I145">
        <v>44.750833942777717</v>
      </c>
    </row>
    <row r="146" spans="3:9" x14ac:dyDescent="0.25">
      <c r="C146" s="8" t="s">
        <v>27</v>
      </c>
      <c r="D146" s="8" t="s">
        <v>99</v>
      </c>
      <c r="E146" s="8" t="s">
        <v>36</v>
      </c>
      <c r="F146" s="8">
        <v>1.2584420928247235</v>
      </c>
      <c r="G146" s="8">
        <v>0</v>
      </c>
      <c r="H146">
        <v>0</v>
      </c>
      <c r="I146">
        <v>64.396568820786342</v>
      </c>
    </row>
    <row r="147" spans="3:9" x14ac:dyDescent="0.25">
      <c r="C147" s="8" t="s">
        <v>27</v>
      </c>
      <c r="D147" s="8" t="s">
        <v>99</v>
      </c>
      <c r="E147" s="8" t="s">
        <v>40</v>
      </c>
      <c r="F147" s="8">
        <v>1.3471061919623486</v>
      </c>
      <c r="G147" s="8">
        <v>0</v>
      </c>
      <c r="H147">
        <v>0</v>
      </c>
      <c r="I147">
        <v>65.837454629337117</v>
      </c>
    </row>
    <row r="148" spans="3:9" x14ac:dyDescent="0.25">
      <c r="C148" s="8" t="s">
        <v>27</v>
      </c>
      <c r="D148" s="8" t="s">
        <v>99</v>
      </c>
      <c r="E148" s="8" t="s">
        <v>38</v>
      </c>
      <c r="F148" s="8">
        <v>0.80316799858354448</v>
      </c>
      <c r="G148" s="8">
        <v>70.723650989196358</v>
      </c>
      <c r="H148">
        <v>0</v>
      </c>
      <c r="I148">
        <v>70.723650989196358</v>
      </c>
    </row>
    <row r="149" spans="3:9" x14ac:dyDescent="0.25">
      <c r="C149" s="8" t="s">
        <v>27</v>
      </c>
      <c r="D149" s="8" t="s">
        <v>99</v>
      </c>
      <c r="E149" s="8" t="s">
        <v>34</v>
      </c>
      <c r="F149" s="8">
        <v>1.5665052208954475</v>
      </c>
      <c r="G149" s="8">
        <v>0</v>
      </c>
      <c r="H149">
        <v>0</v>
      </c>
      <c r="I149">
        <v>86.081746833848229</v>
      </c>
    </row>
    <row r="150" spans="3:9" x14ac:dyDescent="0.25">
      <c r="C150" s="8" t="s">
        <v>27</v>
      </c>
      <c r="D150" s="8" t="s">
        <v>99</v>
      </c>
      <c r="E150" s="8" t="s">
        <v>35</v>
      </c>
      <c r="F150" s="8">
        <v>1.8658175293569053</v>
      </c>
      <c r="G150" s="8">
        <v>0</v>
      </c>
      <c r="H150">
        <v>0</v>
      </c>
      <c r="I150">
        <v>94.940974602849565</v>
      </c>
    </row>
    <row r="151" spans="3:9" x14ac:dyDescent="0.25">
      <c r="C151" s="8" t="s">
        <v>27</v>
      </c>
      <c r="D151" s="8" t="s">
        <v>99</v>
      </c>
      <c r="E151" s="8" t="s">
        <v>39</v>
      </c>
      <c r="F151" s="8">
        <v>2.2602985092754313</v>
      </c>
      <c r="G151" s="8">
        <v>0</v>
      </c>
      <c r="H151">
        <v>0</v>
      </c>
      <c r="I151">
        <v>109.07190695491408</v>
      </c>
    </row>
    <row r="152" spans="3:9" x14ac:dyDescent="0.25">
      <c r="C152" s="8" t="s">
        <v>27</v>
      </c>
      <c r="D152" s="8" t="s">
        <v>99</v>
      </c>
      <c r="E152" s="8" t="s">
        <v>94</v>
      </c>
      <c r="F152" s="8">
        <v>3.5243134704224532</v>
      </c>
      <c r="G152" s="8">
        <v>0</v>
      </c>
      <c r="H152">
        <v>0</v>
      </c>
      <c r="I152">
        <v>138.96645039782925</v>
      </c>
    </row>
    <row r="153" spans="3:9" x14ac:dyDescent="0.25">
      <c r="C153" s="8" t="s">
        <v>27</v>
      </c>
      <c r="D153" s="8" t="s">
        <v>99</v>
      </c>
      <c r="E153" s="8" t="s">
        <v>41</v>
      </c>
      <c r="F153" s="8">
        <v>4.0416763905992816</v>
      </c>
      <c r="G153" s="8">
        <v>0</v>
      </c>
      <c r="H153">
        <v>0</v>
      </c>
      <c r="I153">
        <v>149.82560170661964</v>
      </c>
    </row>
    <row r="154" spans="3:9" x14ac:dyDescent="0.25">
      <c r="C154" s="8" t="s">
        <v>27</v>
      </c>
      <c r="D154" s="8" t="s">
        <v>99</v>
      </c>
      <c r="E154" s="8" t="s">
        <v>29</v>
      </c>
      <c r="F154" s="8">
        <v>3.399253982964594</v>
      </c>
      <c r="G154" s="8">
        <v>0</v>
      </c>
      <c r="H154">
        <v>0</v>
      </c>
      <c r="I154">
        <v>163.85365860012553</v>
      </c>
    </row>
    <row r="155" spans="3:9" x14ac:dyDescent="0.25">
      <c r="C155" s="8" t="s">
        <v>27</v>
      </c>
      <c r="D155" s="8" t="s">
        <v>98</v>
      </c>
      <c r="E155" s="8" t="s">
        <v>41</v>
      </c>
      <c r="F155" s="8">
        <v>6.8015259989343662</v>
      </c>
      <c r="G155" s="8">
        <v>0</v>
      </c>
      <c r="H155">
        <v>0</v>
      </c>
      <c r="I155">
        <v>171.63436812648888</v>
      </c>
    </row>
    <row r="156" spans="3:9" x14ac:dyDescent="0.25">
      <c r="C156" s="8" t="s">
        <v>27</v>
      </c>
      <c r="D156" s="8" t="s">
        <v>98</v>
      </c>
      <c r="E156" s="8" t="s">
        <v>34</v>
      </c>
      <c r="F156" s="8">
        <v>6.5346197914055679</v>
      </c>
      <c r="G156" s="8">
        <v>0</v>
      </c>
      <c r="H156">
        <v>0</v>
      </c>
      <c r="I156">
        <v>184.39399894559847</v>
      </c>
    </row>
    <row r="157" spans="3:9" x14ac:dyDescent="0.25">
      <c r="C157" s="8" t="s">
        <v>27</v>
      </c>
      <c r="D157" s="8" t="s">
        <v>98</v>
      </c>
      <c r="E157" s="8" t="s">
        <v>37</v>
      </c>
      <c r="F157" s="8">
        <v>6.7332930736690209</v>
      </c>
      <c r="G157" s="8">
        <v>0</v>
      </c>
      <c r="H157">
        <v>0</v>
      </c>
      <c r="I157">
        <v>199.85519197055874</v>
      </c>
    </row>
    <row r="158" spans="3:9" x14ac:dyDescent="0.25">
      <c r="C158" s="8" t="s">
        <v>27</v>
      </c>
      <c r="D158" s="8" t="s">
        <v>98</v>
      </c>
      <c r="E158" s="8" t="s">
        <v>36</v>
      </c>
      <c r="F158" s="8">
        <v>6.9891140142586128</v>
      </c>
      <c r="G158" s="8">
        <v>0</v>
      </c>
      <c r="H158">
        <v>0</v>
      </c>
      <c r="I158">
        <v>232.86881830510265</v>
      </c>
    </row>
    <row r="159" spans="3:9" x14ac:dyDescent="0.25">
      <c r="C159" s="8" t="s">
        <v>27</v>
      </c>
      <c r="D159" s="8" t="s">
        <v>98</v>
      </c>
      <c r="E159" s="8" t="s">
        <v>40</v>
      </c>
      <c r="F159" s="8">
        <v>5.175983440486986</v>
      </c>
      <c r="G159" s="8">
        <v>0</v>
      </c>
      <c r="H159">
        <v>0</v>
      </c>
      <c r="I159">
        <v>238.83412455909183</v>
      </c>
    </row>
    <row r="160" spans="3:9" x14ac:dyDescent="0.25">
      <c r="C160" s="8" t="s">
        <v>27</v>
      </c>
      <c r="D160" s="8" t="s">
        <v>98</v>
      </c>
      <c r="E160" s="8" t="s">
        <v>94</v>
      </c>
      <c r="F160" s="8">
        <v>8.2217467267134996</v>
      </c>
      <c r="G160" s="8">
        <v>0</v>
      </c>
      <c r="H160">
        <v>0</v>
      </c>
      <c r="I160">
        <v>250.99312537279093</v>
      </c>
    </row>
    <row r="161" spans="3:9" x14ac:dyDescent="0.25">
      <c r="C161" s="8" t="s">
        <v>27</v>
      </c>
      <c r="D161" s="8" t="s">
        <v>98</v>
      </c>
      <c r="E161" s="8" t="s">
        <v>38</v>
      </c>
      <c r="F161" s="8">
        <v>7.3306041396286341</v>
      </c>
      <c r="G161" s="8">
        <v>0</v>
      </c>
      <c r="H161">
        <v>0</v>
      </c>
      <c r="I161">
        <v>277.99653054867485</v>
      </c>
    </row>
    <row r="162" spans="3:9" x14ac:dyDescent="0.25">
      <c r="C162" s="8" t="s">
        <v>27</v>
      </c>
      <c r="D162" s="8" t="s">
        <v>98</v>
      </c>
      <c r="E162" s="8" t="s">
        <v>29</v>
      </c>
      <c r="F162" s="8">
        <v>11.459992543521453</v>
      </c>
      <c r="G162" s="8">
        <v>0</v>
      </c>
      <c r="H162">
        <v>0</v>
      </c>
      <c r="I162">
        <v>279.77014683548077</v>
      </c>
    </row>
    <row r="163" spans="3:9" x14ac:dyDescent="0.25">
      <c r="C163" s="8" t="s">
        <v>27</v>
      </c>
      <c r="D163" s="8" t="s">
        <v>98</v>
      </c>
      <c r="E163" s="8" t="s">
        <v>39</v>
      </c>
      <c r="F163" s="8">
        <v>10.470463379350081</v>
      </c>
      <c r="G163" s="8">
        <v>0</v>
      </c>
      <c r="H163">
        <v>0</v>
      </c>
      <c r="I163">
        <v>281.53970599809873</v>
      </c>
    </row>
    <row r="164" spans="3:9" x14ac:dyDescent="0.25">
      <c r="C164" s="8" t="s">
        <v>27</v>
      </c>
      <c r="D164" s="8" t="s">
        <v>98</v>
      </c>
      <c r="E164" s="8" t="s">
        <v>35</v>
      </c>
      <c r="F164" s="8">
        <v>13.073501731382635</v>
      </c>
      <c r="G164" s="8">
        <v>0</v>
      </c>
      <c r="H164">
        <v>0</v>
      </c>
      <c r="I164">
        <v>295.39080824969733</v>
      </c>
    </row>
    <row r="165" spans="3:9" x14ac:dyDescent="0.25">
      <c r="C165" s="8" t="s">
        <v>27</v>
      </c>
      <c r="D165" s="8" t="s">
        <v>110</v>
      </c>
      <c r="E165" s="8" t="s">
        <v>29</v>
      </c>
      <c r="F165" s="8">
        <v>204.40256788866205</v>
      </c>
      <c r="G165" s="8">
        <v>233.1720762930272</v>
      </c>
      <c r="H165">
        <v>0</v>
      </c>
      <c r="I165">
        <v>2000</v>
      </c>
    </row>
    <row r="166" spans="3:9" x14ac:dyDescent="0.25">
      <c r="C166" s="8" t="s">
        <v>27</v>
      </c>
      <c r="D166" s="8" t="s">
        <v>110</v>
      </c>
      <c r="E166" s="8" t="s">
        <v>94</v>
      </c>
      <c r="F166" s="8">
        <v>206.94215669945734</v>
      </c>
      <c r="G166" s="8">
        <v>115.65916373594791</v>
      </c>
      <c r="H166">
        <v>0</v>
      </c>
      <c r="I166">
        <v>2000</v>
      </c>
    </row>
    <row r="167" spans="3:9" x14ac:dyDescent="0.25">
      <c r="C167" s="8" t="s">
        <v>27</v>
      </c>
      <c r="D167" s="8" t="s">
        <v>110</v>
      </c>
      <c r="E167" s="8" t="s">
        <v>37</v>
      </c>
      <c r="F167" s="8">
        <v>210.33999476926527</v>
      </c>
      <c r="G167" s="8">
        <v>181.66510416898836</v>
      </c>
      <c r="H167">
        <v>0</v>
      </c>
      <c r="I167">
        <v>2000</v>
      </c>
    </row>
    <row r="168" spans="3:9" x14ac:dyDescent="0.25">
      <c r="C168" s="8" t="s">
        <v>27</v>
      </c>
      <c r="D168" s="8" t="s">
        <v>110</v>
      </c>
      <c r="E168" s="8" t="s">
        <v>38</v>
      </c>
      <c r="F168" s="8">
        <v>216.3394036331006</v>
      </c>
      <c r="G168" s="8">
        <v>122.11830858297981</v>
      </c>
      <c r="H168">
        <v>0</v>
      </c>
      <c r="I168">
        <v>2000</v>
      </c>
    </row>
    <row r="169" spans="3:9" x14ac:dyDescent="0.25">
      <c r="C169" s="8" t="s">
        <v>27</v>
      </c>
      <c r="D169" s="8" t="s">
        <v>110</v>
      </c>
      <c r="E169" s="8" t="s">
        <v>39</v>
      </c>
      <c r="F169" s="8">
        <v>217.38147074431396</v>
      </c>
      <c r="G169" s="8">
        <v>149.1532355600566</v>
      </c>
      <c r="H169">
        <v>0</v>
      </c>
      <c r="I169">
        <v>2000</v>
      </c>
    </row>
    <row r="170" spans="3:9" x14ac:dyDescent="0.25">
      <c r="C170" s="8" t="s">
        <v>27</v>
      </c>
      <c r="D170" s="8" t="s">
        <v>110</v>
      </c>
      <c r="E170" s="8" t="s">
        <v>36</v>
      </c>
      <c r="F170" s="8">
        <v>218.98104285490064</v>
      </c>
      <c r="G170" s="8">
        <v>229.68764468844711</v>
      </c>
      <c r="H170">
        <v>0</v>
      </c>
      <c r="I170">
        <v>2000</v>
      </c>
    </row>
    <row r="171" spans="3:9" x14ac:dyDescent="0.25">
      <c r="C171" s="8" t="s">
        <v>27</v>
      </c>
      <c r="D171" s="8" t="s">
        <v>110</v>
      </c>
      <c r="E171" s="8" t="s">
        <v>34</v>
      </c>
      <c r="F171" s="8">
        <v>224.22024106482118</v>
      </c>
      <c r="G171" s="8">
        <v>144.02463772987358</v>
      </c>
      <c r="H171">
        <v>0</v>
      </c>
      <c r="I171">
        <v>2000</v>
      </c>
    </row>
    <row r="172" spans="3:9" x14ac:dyDescent="0.25">
      <c r="C172" s="8" t="s">
        <v>27</v>
      </c>
      <c r="D172" s="8" t="s">
        <v>110</v>
      </c>
      <c r="E172" s="8" t="s">
        <v>40</v>
      </c>
      <c r="F172" s="8">
        <v>229.33673398899862</v>
      </c>
      <c r="G172" s="8">
        <v>202.82427679105422</v>
      </c>
      <c r="H172">
        <v>0</v>
      </c>
      <c r="I172">
        <v>2000</v>
      </c>
    </row>
    <row r="173" spans="3:9" x14ac:dyDescent="0.25">
      <c r="C173" s="8" t="s">
        <v>27</v>
      </c>
      <c r="D173" s="8" t="s">
        <v>110</v>
      </c>
      <c r="E173" s="8" t="s">
        <v>41</v>
      </c>
      <c r="F173" s="8">
        <v>236.44745366291681</v>
      </c>
      <c r="G173" s="8">
        <v>277.89593837928442</v>
      </c>
      <c r="H173">
        <v>0</v>
      </c>
      <c r="I173">
        <v>2000</v>
      </c>
    </row>
    <row r="174" spans="3:9" x14ac:dyDescent="0.25">
      <c r="C174" s="8" t="s">
        <v>27</v>
      </c>
      <c r="D174" s="8" t="s">
        <v>110</v>
      </c>
      <c r="E174" s="8" t="s">
        <v>35</v>
      </c>
      <c r="F174" s="8">
        <v>236.52598582363535</v>
      </c>
      <c r="G174" s="8">
        <v>232.93413419974695</v>
      </c>
      <c r="H174">
        <v>0</v>
      </c>
      <c r="I174">
        <v>2000</v>
      </c>
    </row>
    <row r="175" spans="3:9" x14ac:dyDescent="0.25">
      <c r="C175" s="8" t="s">
        <v>27</v>
      </c>
      <c r="D175" s="8" t="s">
        <v>109</v>
      </c>
      <c r="E175" s="8" t="s">
        <v>34</v>
      </c>
      <c r="F175" s="8">
        <v>84.864204444264232</v>
      </c>
      <c r="G175" s="8">
        <v>0</v>
      </c>
      <c r="H175">
        <v>0</v>
      </c>
      <c r="I175">
        <v>2109.5405750509372</v>
      </c>
    </row>
    <row r="176" spans="3:9" x14ac:dyDescent="0.25">
      <c r="C176" s="8" t="s">
        <v>27</v>
      </c>
      <c r="D176" s="8" t="s">
        <v>109</v>
      </c>
      <c r="E176" s="8" t="s">
        <v>40</v>
      </c>
      <c r="F176" s="8">
        <v>85.302763104320064</v>
      </c>
      <c r="G176" s="8">
        <v>0</v>
      </c>
      <c r="H176">
        <v>0</v>
      </c>
      <c r="I176">
        <v>2120.9384624054101</v>
      </c>
    </row>
    <row r="177" spans="3:9" x14ac:dyDescent="0.25">
      <c r="C177" s="8" t="s">
        <v>27</v>
      </c>
      <c r="D177" s="8" t="s">
        <v>109</v>
      </c>
      <c r="E177" s="8" t="s">
        <v>29</v>
      </c>
      <c r="F177" s="8">
        <v>85.971474570064302</v>
      </c>
      <c r="G177" s="8">
        <v>0</v>
      </c>
      <c r="H177">
        <v>0</v>
      </c>
      <c r="I177">
        <v>2132.6187775456901</v>
      </c>
    </row>
    <row r="178" spans="3:9" x14ac:dyDescent="0.25">
      <c r="C178" s="8" t="s">
        <v>27</v>
      </c>
      <c r="D178" s="8" t="s">
        <v>109</v>
      </c>
      <c r="E178" s="8" t="s">
        <v>41</v>
      </c>
      <c r="F178" s="8">
        <v>86.197509555728246</v>
      </c>
      <c r="G178" s="8">
        <v>0</v>
      </c>
      <c r="H178">
        <v>0</v>
      </c>
      <c r="I178">
        <v>2141.0959780095791</v>
      </c>
    </row>
    <row r="179" spans="3:9" x14ac:dyDescent="0.25">
      <c r="C179" s="8" t="s">
        <v>27</v>
      </c>
      <c r="D179" s="8" t="s">
        <v>109</v>
      </c>
      <c r="E179" s="8" t="s">
        <v>35</v>
      </c>
      <c r="F179" s="8">
        <v>86.970165491398745</v>
      </c>
      <c r="G179" s="8">
        <v>0</v>
      </c>
      <c r="H179">
        <v>0</v>
      </c>
      <c r="I179">
        <v>2166.8786507338045</v>
      </c>
    </row>
    <row r="180" spans="3:9" x14ac:dyDescent="0.25">
      <c r="C180" s="8" t="s">
        <v>27</v>
      </c>
      <c r="D180" s="8" t="s">
        <v>109</v>
      </c>
      <c r="E180" s="8" t="s">
        <v>94</v>
      </c>
      <c r="F180" s="8">
        <v>87.038268881385093</v>
      </c>
      <c r="G180" s="8">
        <v>0</v>
      </c>
      <c r="H180">
        <v>0</v>
      </c>
      <c r="I180">
        <v>2175.5152595822401</v>
      </c>
    </row>
    <row r="181" spans="3:9" x14ac:dyDescent="0.25">
      <c r="C181" s="8" t="s">
        <v>27</v>
      </c>
      <c r="D181" s="8" t="s">
        <v>109</v>
      </c>
      <c r="E181" s="8" t="s">
        <v>37</v>
      </c>
      <c r="F181" s="8">
        <v>87.29117804207911</v>
      </c>
      <c r="G181" s="8">
        <v>0</v>
      </c>
      <c r="H181">
        <v>0</v>
      </c>
      <c r="I181">
        <v>2188.3751026691025</v>
      </c>
    </row>
    <row r="182" spans="3:9" x14ac:dyDescent="0.25">
      <c r="C182" s="8" t="s">
        <v>27</v>
      </c>
      <c r="D182" s="8" t="s">
        <v>109</v>
      </c>
      <c r="E182" s="8" t="s">
        <v>38</v>
      </c>
      <c r="F182" s="8">
        <v>86.783554578141292</v>
      </c>
      <c r="G182" s="8">
        <v>0</v>
      </c>
      <c r="H182">
        <v>0</v>
      </c>
      <c r="I182">
        <v>2192.3810251567775</v>
      </c>
    </row>
    <row r="183" spans="3:9" x14ac:dyDescent="0.25">
      <c r="C183" s="8" t="s">
        <v>27</v>
      </c>
      <c r="D183" s="8" t="s">
        <v>109</v>
      </c>
      <c r="E183" s="8" t="s">
        <v>36</v>
      </c>
      <c r="F183" s="8">
        <v>87.262659745898631</v>
      </c>
      <c r="G183" s="8">
        <v>0</v>
      </c>
      <c r="H183">
        <v>0</v>
      </c>
      <c r="I183">
        <v>2203.2516045057719</v>
      </c>
    </row>
    <row r="184" spans="3:9" x14ac:dyDescent="0.25">
      <c r="C184" s="8" t="s">
        <v>27</v>
      </c>
      <c r="D184" s="8" t="s">
        <v>109</v>
      </c>
      <c r="E184" s="8" t="s">
        <v>39</v>
      </c>
      <c r="F184" s="8">
        <v>87.889141299247044</v>
      </c>
      <c r="G184" s="8">
        <v>0</v>
      </c>
      <c r="H184">
        <v>0</v>
      </c>
      <c r="I184">
        <v>2221.6161131821127</v>
      </c>
    </row>
    <row r="185" spans="3:9" x14ac:dyDescent="0.25">
      <c r="C185" s="8" t="s">
        <v>27</v>
      </c>
      <c r="D185" s="8" t="s">
        <v>111</v>
      </c>
      <c r="E185" s="8" t="s">
        <v>36</v>
      </c>
      <c r="F185" s="8">
        <v>210.95383987308492</v>
      </c>
      <c r="G185" s="8">
        <v>129.09837771935054</v>
      </c>
      <c r="H185">
        <v>0</v>
      </c>
      <c r="I185">
        <v>4000</v>
      </c>
    </row>
    <row r="186" spans="3:9" x14ac:dyDescent="0.25">
      <c r="C186" s="8" t="s">
        <v>27</v>
      </c>
      <c r="D186" s="8" t="s">
        <v>111</v>
      </c>
      <c r="E186" s="8" t="s">
        <v>29</v>
      </c>
      <c r="F186" s="8">
        <v>214.47620878287523</v>
      </c>
      <c r="G186" s="8">
        <v>163.8425386245035</v>
      </c>
      <c r="H186">
        <v>0</v>
      </c>
      <c r="I186">
        <v>4000</v>
      </c>
    </row>
    <row r="187" spans="3:9" x14ac:dyDescent="0.25">
      <c r="C187" s="8" t="s">
        <v>27</v>
      </c>
      <c r="D187" s="8" t="s">
        <v>111</v>
      </c>
      <c r="E187" s="8" t="s">
        <v>41</v>
      </c>
      <c r="F187" s="8">
        <v>227.72164502009943</v>
      </c>
      <c r="G187" s="8">
        <v>185.12005747656804</v>
      </c>
      <c r="H187">
        <v>0</v>
      </c>
      <c r="I187">
        <v>4000</v>
      </c>
    </row>
    <row r="188" spans="3:9" x14ac:dyDescent="0.25">
      <c r="C188" s="8" t="s">
        <v>27</v>
      </c>
      <c r="D188" s="8" t="s">
        <v>111</v>
      </c>
      <c r="E188" s="8" t="s">
        <v>37</v>
      </c>
      <c r="F188" s="8">
        <v>233.23051512676338</v>
      </c>
      <c r="G188" s="8">
        <v>176.8805276547746</v>
      </c>
      <c r="H188">
        <v>0</v>
      </c>
      <c r="I188">
        <v>4000</v>
      </c>
    </row>
    <row r="189" spans="3:9" x14ac:dyDescent="0.25">
      <c r="C189" s="8" t="s">
        <v>27</v>
      </c>
      <c r="D189" s="8" t="s">
        <v>111</v>
      </c>
      <c r="E189" s="8" t="s">
        <v>38</v>
      </c>
      <c r="F189" s="8">
        <v>236.61479384939753</v>
      </c>
      <c r="G189" s="8">
        <v>4000</v>
      </c>
      <c r="H189">
        <v>0</v>
      </c>
      <c r="I189">
        <v>4000</v>
      </c>
    </row>
    <row r="190" spans="3:9" x14ac:dyDescent="0.25">
      <c r="C190" s="8" t="s">
        <v>27</v>
      </c>
      <c r="D190" s="8" t="s">
        <v>111</v>
      </c>
      <c r="E190" s="8" t="s">
        <v>35</v>
      </c>
      <c r="F190" s="8">
        <v>243.24604537024061</v>
      </c>
      <c r="G190" s="8">
        <v>197.86948964162912</v>
      </c>
      <c r="H190">
        <v>0</v>
      </c>
      <c r="I190">
        <v>4000</v>
      </c>
    </row>
    <row r="191" spans="3:9" x14ac:dyDescent="0.25">
      <c r="C191" s="8" t="s">
        <v>27</v>
      </c>
      <c r="D191" s="8" t="s">
        <v>111</v>
      </c>
      <c r="E191" s="8" t="s">
        <v>94</v>
      </c>
      <c r="F191" s="8">
        <v>260.70380982481106</v>
      </c>
      <c r="G191" s="8">
        <v>177.00512198957585</v>
      </c>
      <c r="H191">
        <v>0</v>
      </c>
      <c r="I191">
        <v>4000</v>
      </c>
    </row>
    <row r="192" spans="3:9" x14ac:dyDescent="0.25">
      <c r="C192" s="8" t="s">
        <v>27</v>
      </c>
      <c r="D192" s="8" t="s">
        <v>111</v>
      </c>
      <c r="E192" s="8" t="s">
        <v>34</v>
      </c>
      <c r="F192" s="8">
        <v>261.24035152418338</v>
      </c>
      <c r="G192" s="8">
        <v>166.62312591769478</v>
      </c>
      <c r="H192">
        <v>0</v>
      </c>
      <c r="I192">
        <v>4000</v>
      </c>
    </row>
    <row r="193" spans="3:9" x14ac:dyDescent="0.25">
      <c r="C193" s="8" t="s">
        <v>27</v>
      </c>
      <c r="D193" s="8" t="s">
        <v>111</v>
      </c>
      <c r="E193" s="8" t="s">
        <v>40</v>
      </c>
      <c r="F193" s="8">
        <v>265.59400960721439</v>
      </c>
      <c r="G193" s="8">
        <v>172.7425674798842</v>
      </c>
      <c r="H193">
        <v>0</v>
      </c>
      <c r="I193">
        <v>4000</v>
      </c>
    </row>
    <row r="194" spans="3:9" x14ac:dyDescent="0.25">
      <c r="C194" s="8" t="s">
        <v>27</v>
      </c>
      <c r="D194" s="8" t="s">
        <v>111</v>
      </c>
      <c r="E194" s="8" t="s">
        <v>39</v>
      </c>
      <c r="F194" s="8">
        <v>266.82906039557423</v>
      </c>
      <c r="G194" s="8">
        <v>134.88626412413487</v>
      </c>
      <c r="H194">
        <v>0</v>
      </c>
      <c r="I194">
        <v>4000</v>
      </c>
    </row>
    <row r="195" spans="3:9" x14ac:dyDescent="0.25">
      <c r="C195" s="8" t="s">
        <v>27</v>
      </c>
      <c r="D195" s="8" t="s">
        <v>112</v>
      </c>
      <c r="E195" s="8" t="s">
        <v>34</v>
      </c>
      <c r="F195" s="8">
        <v>421.2470565206213</v>
      </c>
      <c r="G195" s="8">
        <v>269.87447195178447</v>
      </c>
      <c r="H195">
        <v>0</v>
      </c>
      <c r="I195">
        <v>4000</v>
      </c>
    </row>
    <row r="196" spans="3:9" x14ac:dyDescent="0.25">
      <c r="C196" s="8" t="s">
        <v>27</v>
      </c>
      <c r="D196" s="8" t="s">
        <v>112</v>
      </c>
      <c r="E196" s="8" t="s">
        <v>40</v>
      </c>
      <c r="F196" s="8">
        <v>426.32242193381688</v>
      </c>
      <c r="G196" s="8">
        <v>265.14014565416528</v>
      </c>
      <c r="H196">
        <v>0</v>
      </c>
      <c r="I196">
        <v>4000</v>
      </c>
    </row>
    <row r="197" spans="3:9" x14ac:dyDescent="0.25">
      <c r="C197" s="8" t="s">
        <v>27</v>
      </c>
      <c r="D197" s="8" t="s">
        <v>112</v>
      </c>
      <c r="E197" s="8" t="s">
        <v>41</v>
      </c>
      <c r="F197" s="8">
        <v>426.75498227559166</v>
      </c>
      <c r="G197" s="8">
        <v>309.67285066226759</v>
      </c>
      <c r="H197">
        <v>0</v>
      </c>
      <c r="I197">
        <v>4000</v>
      </c>
    </row>
    <row r="198" spans="3:9" x14ac:dyDescent="0.25">
      <c r="C198" s="8" t="s">
        <v>27</v>
      </c>
      <c r="D198" s="8" t="s">
        <v>112</v>
      </c>
      <c r="E198" s="8" t="s">
        <v>29</v>
      </c>
      <c r="F198" s="8">
        <v>427.59363284209689</v>
      </c>
      <c r="G198" s="8">
        <v>258.36961082772814</v>
      </c>
      <c r="H198">
        <v>0</v>
      </c>
      <c r="I198">
        <v>4000</v>
      </c>
    </row>
    <row r="199" spans="3:9" x14ac:dyDescent="0.25">
      <c r="C199" s="8" t="s">
        <v>27</v>
      </c>
      <c r="D199" s="8" t="s">
        <v>112</v>
      </c>
      <c r="E199" s="8" t="s">
        <v>39</v>
      </c>
      <c r="F199" s="8">
        <v>431.10605441594009</v>
      </c>
      <c r="G199" s="8">
        <v>304.12797837569087</v>
      </c>
      <c r="H199">
        <v>0</v>
      </c>
      <c r="I199">
        <v>4000</v>
      </c>
    </row>
    <row r="200" spans="3:9" x14ac:dyDescent="0.25">
      <c r="C200" s="8" t="s">
        <v>27</v>
      </c>
      <c r="D200" s="8" t="s">
        <v>112</v>
      </c>
      <c r="E200" s="8" t="s">
        <v>35</v>
      </c>
      <c r="F200" s="8">
        <v>438.2966237522275</v>
      </c>
      <c r="G200" s="8">
        <v>256.38523208871993</v>
      </c>
      <c r="H200">
        <v>0</v>
      </c>
      <c r="I200">
        <v>4000</v>
      </c>
    </row>
    <row r="201" spans="3:9" x14ac:dyDescent="0.25">
      <c r="C201" s="8" t="s">
        <v>27</v>
      </c>
      <c r="D201" s="8" t="s">
        <v>112</v>
      </c>
      <c r="E201" s="8" t="s">
        <v>94</v>
      </c>
      <c r="F201" s="8">
        <v>441.50892937452971</v>
      </c>
      <c r="G201" s="8">
        <v>330.48192171343544</v>
      </c>
      <c r="H201">
        <v>0</v>
      </c>
      <c r="I201">
        <v>4000</v>
      </c>
    </row>
    <row r="202" spans="3:9" x14ac:dyDescent="0.25">
      <c r="C202" s="8" t="s">
        <v>27</v>
      </c>
      <c r="D202" s="8" t="s">
        <v>112</v>
      </c>
      <c r="E202" s="8" t="s">
        <v>36</v>
      </c>
      <c r="F202" s="8">
        <v>442.35762699253604</v>
      </c>
      <c r="G202" s="8">
        <v>276.38188918646119</v>
      </c>
      <c r="H202">
        <v>0</v>
      </c>
      <c r="I202">
        <v>4000</v>
      </c>
    </row>
    <row r="203" spans="3:9" x14ac:dyDescent="0.25">
      <c r="C203" s="8" t="s">
        <v>27</v>
      </c>
      <c r="D203" s="8" t="s">
        <v>112</v>
      </c>
      <c r="E203" s="8" t="s">
        <v>37</v>
      </c>
      <c r="F203" s="8">
        <v>442.52709385730236</v>
      </c>
      <c r="G203" s="8">
        <v>279.65922914590737</v>
      </c>
      <c r="H203">
        <v>0</v>
      </c>
      <c r="I203">
        <v>4000</v>
      </c>
    </row>
    <row r="204" spans="3:9" x14ac:dyDescent="0.25">
      <c r="C204" s="8" t="s">
        <v>27</v>
      </c>
      <c r="D204" s="8" t="s">
        <v>112</v>
      </c>
      <c r="E204" s="8" t="s">
        <v>38</v>
      </c>
      <c r="F204" s="8">
        <v>472.97533057967519</v>
      </c>
      <c r="G204" s="8">
        <v>319.30464815797768</v>
      </c>
      <c r="H204">
        <v>0</v>
      </c>
      <c r="I204">
        <v>4000</v>
      </c>
    </row>
    <row r="205" spans="3:9" x14ac:dyDescent="0.25">
      <c r="C205" s="8" t="s">
        <v>27</v>
      </c>
      <c r="D205" s="8" t="s">
        <v>113</v>
      </c>
      <c r="E205" s="8" t="s">
        <v>34</v>
      </c>
      <c r="F205" s="8">
        <v>712.34858985089727</v>
      </c>
      <c r="G205" s="8">
        <v>485.05072141411438</v>
      </c>
      <c r="H205">
        <v>0</v>
      </c>
      <c r="I205">
        <v>4307.8702291956679</v>
      </c>
    </row>
    <row r="206" spans="3:9" x14ac:dyDescent="0.25">
      <c r="C206" s="8" t="s">
        <v>27</v>
      </c>
      <c r="D206" s="8" t="s">
        <v>113</v>
      </c>
      <c r="E206" s="8" t="s">
        <v>29</v>
      </c>
      <c r="F206" s="8">
        <v>687.45134239160609</v>
      </c>
      <c r="G206" s="8">
        <v>461.87947716539747</v>
      </c>
      <c r="H206">
        <v>0</v>
      </c>
      <c r="I206">
        <v>4355.2099588643086</v>
      </c>
    </row>
    <row r="207" spans="3:9" x14ac:dyDescent="0.25">
      <c r="C207" s="8" t="s">
        <v>27</v>
      </c>
      <c r="D207" s="8" t="s">
        <v>113</v>
      </c>
      <c r="E207" s="8" t="s">
        <v>35</v>
      </c>
      <c r="F207" s="8">
        <v>704.09945921141582</v>
      </c>
      <c r="G207" s="8">
        <v>419.74775134405081</v>
      </c>
      <c r="H207">
        <v>0</v>
      </c>
      <c r="I207">
        <v>4419.4258765828627</v>
      </c>
    </row>
    <row r="208" spans="3:9" x14ac:dyDescent="0.25">
      <c r="C208" s="8" t="s">
        <v>27</v>
      </c>
      <c r="D208" s="8" t="s">
        <v>113</v>
      </c>
      <c r="E208" s="8" t="s">
        <v>41</v>
      </c>
      <c r="F208" s="8">
        <v>724.43601974020157</v>
      </c>
      <c r="G208" s="8">
        <v>507.39816791289013</v>
      </c>
      <c r="H208">
        <v>0</v>
      </c>
      <c r="I208">
        <v>4419.9312188731374</v>
      </c>
    </row>
    <row r="209" spans="3:9" x14ac:dyDescent="0.25">
      <c r="C209" s="8" t="s">
        <v>27</v>
      </c>
      <c r="D209" s="8" t="s">
        <v>113</v>
      </c>
      <c r="E209" s="8" t="s">
        <v>38</v>
      </c>
      <c r="F209" s="8">
        <v>675.18967485259577</v>
      </c>
      <c r="G209" s="8">
        <v>329.99860950821949</v>
      </c>
      <c r="H209">
        <v>0</v>
      </c>
      <c r="I209">
        <v>4421.76022532363</v>
      </c>
    </row>
    <row r="210" spans="3:9" x14ac:dyDescent="0.25">
      <c r="C210" s="8" t="s">
        <v>27</v>
      </c>
      <c r="D210" s="8" t="s">
        <v>113</v>
      </c>
      <c r="E210" s="8" t="s">
        <v>39</v>
      </c>
      <c r="F210" s="8">
        <v>662.68142403655702</v>
      </c>
      <c r="G210" s="8">
        <v>418.26775357116185</v>
      </c>
      <c r="H210">
        <v>0</v>
      </c>
      <c r="I210">
        <v>4429.1248663214537</v>
      </c>
    </row>
    <row r="211" spans="3:9" x14ac:dyDescent="0.25">
      <c r="C211" s="8" t="s">
        <v>27</v>
      </c>
      <c r="D211" s="8" t="s">
        <v>113</v>
      </c>
      <c r="E211" s="8" t="s">
        <v>94</v>
      </c>
      <c r="F211" s="8">
        <v>711.24053390717643</v>
      </c>
      <c r="G211" s="8">
        <v>643.1953142452121</v>
      </c>
      <c r="H211">
        <v>0</v>
      </c>
      <c r="I211">
        <v>4433.7825289448538</v>
      </c>
    </row>
    <row r="212" spans="3:9" x14ac:dyDescent="0.25">
      <c r="C212" s="8" t="s">
        <v>27</v>
      </c>
      <c r="D212" s="8" t="s">
        <v>113</v>
      </c>
      <c r="E212" s="8" t="s">
        <v>40</v>
      </c>
      <c r="F212" s="8">
        <v>730.30001574815924</v>
      </c>
      <c r="G212" s="8">
        <v>494.96629824298907</v>
      </c>
      <c r="H212">
        <v>0</v>
      </c>
      <c r="I212">
        <v>4434.9665385329336</v>
      </c>
    </row>
    <row r="213" spans="3:9" x14ac:dyDescent="0.25">
      <c r="C213" s="8" t="s">
        <v>27</v>
      </c>
      <c r="D213" s="8" t="s">
        <v>113</v>
      </c>
      <c r="E213" s="8" t="s">
        <v>36</v>
      </c>
      <c r="F213" s="8">
        <v>702.48505281023142</v>
      </c>
      <c r="G213" s="8">
        <v>391.48782098878655</v>
      </c>
      <c r="H213">
        <v>0</v>
      </c>
      <c r="I213">
        <v>4442.2679406518955</v>
      </c>
    </row>
    <row r="214" spans="3:9" x14ac:dyDescent="0.25">
      <c r="C214" s="8" t="s">
        <v>27</v>
      </c>
      <c r="D214" s="8" t="s">
        <v>113</v>
      </c>
      <c r="E214" s="8" t="s">
        <v>37</v>
      </c>
      <c r="F214" s="8">
        <v>709.21723353476602</v>
      </c>
      <c r="G214" s="8">
        <v>441.05615161615879</v>
      </c>
      <c r="H214">
        <v>0</v>
      </c>
      <c r="I214">
        <v>4450.3654209942142</v>
      </c>
    </row>
    <row r="215" spans="3:9" x14ac:dyDescent="0.25">
      <c r="C215" s="8" t="s">
        <v>27</v>
      </c>
      <c r="D215" s="8" t="s">
        <v>114</v>
      </c>
      <c r="E215" s="8" t="s">
        <v>37</v>
      </c>
      <c r="F215" s="8">
        <v>3149.0711309767817</v>
      </c>
      <c r="G215" s="8">
        <v>2528.7177038956838</v>
      </c>
      <c r="H215">
        <v>402.27081129101077</v>
      </c>
      <c r="I215">
        <v>5082.9173715234474</v>
      </c>
    </row>
    <row r="216" spans="3:9" x14ac:dyDescent="0.25">
      <c r="C216" s="8" t="s">
        <v>27</v>
      </c>
      <c r="D216" s="8" t="s">
        <v>114</v>
      </c>
      <c r="E216" s="8" t="s">
        <v>35</v>
      </c>
      <c r="F216" s="8">
        <v>3170.8890696583012</v>
      </c>
      <c r="G216" s="8">
        <v>2964.7335130843426</v>
      </c>
      <c r="H216">
        <v>397.93502476443268</v>
      </c>
      <c r="I216">
        <v>5095.9927767944992</v>
      </c>
    </row>
    <row r="217" spans="3:9" x14ac:dyDescent="0.25">
      <c r="C217" s="8" t="s">
        <v>27</v>
      </c>
      <c r="D217" s="8" t="s">
        <v>114</v>
      </c>
      <c r="E217" s="8" t="s">
        <v>40</v>
      </c>
      <c r="F217" s="8">
        <v>3116.5044220009936</v>
      </c>
      <c r="G217" s="8">
        <v>3125.2503958502834</v>
      </c>
      <c r="H217">
        <v>421.05770705108046</v>
      </c>
      <c r="I217">
        <v>5108.182243026029</v>
      </c>
    </row>
    <row r="218" spans="3:9" x14ac:dyDescent="0.25">
      <c r="C218" s="8" t="s">
        <v>27</v>
      </c>
      <c r="D218" s="8" t="s">
        <v>114</v>
      </c>
      <c r="E218" s="8" t="s">
        <v>41</v>
      </c>
      <c r="F218" s="8">
        <v>3135.1174108526807</v>
      </c>
      <c r="G218" s="8">
        <v>4129.7718850934707</v>
      </c>
      <c r="H218">
        <v>394.13968488170946</v>
      </c>
      <c r="I218">
        <v>5135.2440410729778</v>
      </c>
    </row>
    <row r="219" spans="3:9" x14ac:dyDescent="0.25">
      <c r="C219" s="8" t="s">
        <v>27</v>
      </c>
      <c r="D219" s="8" t="s">
        <v>114</v>
      </c>
      <c r="E219" s="8" t="s">
        <v>39</v>
      </c>
      <c r="F219" s="8">
        <v>3245.4247032059752</v>
      </c>
      <c r="G219" s="8">
        <v>3035.842304060337</v>
      </c>
      <c r="H219">
        <v>525.85491463376809</v>
      </c>
      <c r="I219">
        <v>5140.7385780427576</v>
      </c>
    </row>
    <row r="220" spans="3:9" x14ac:dyDescent="0.25">
      <c r="C220" s="8" t="s">
        <v>27</v>
      </c>
      <c r="D220" s="8" t="s">
        <v>114</v>
      </c>
      <c r="E220" s="8" t="s">
        <v>94</v>
      </c>
      <c r="F220" s="8">
        <v>3105.8494398252983</v>
      </c>
      <c r="G220" s="8">
        <v>3114.9788847979826</v>
      </c>
      <c r="H220">
        <v>309.68835903945143</v>
      </c>
      <c r="I220">
        <v>5148.60232980414</v>
      </c>
    </row>
    <row r="221" spans="3:9" x14ac:dyDescent="0.25">
      <c r="C221" s="8" t="s">
        <v>27</v>
      </c>
      <c r="D221" s="8" t="s">
        <v>114</v>
      </c>
      <c r="E221" s="8" t="s">
        <v>36</v>
      </c>
      <c r="F221" s="8">
        <v>3180.1075555416155</v>
      </c>
      <c r="G221" s="8">
        <v>2605.9129874039318</v>
      </c>
      <c r="H221">
        <v>468.72357333756094</v>
      </c>
      <c r="I221">
        <v>5170.532794328863</v>
      </c>
    </row>
    <row r="222" spans="3:9" x14ac:dyDescent="0.25">
      <c r="C222" s="8" t="s">
        <v>27</v>
      </c>
      <c r="D222" s="8" t="s">
        <v>114</v>
      </c>
      <c r="E222" s="8" t="s">
        <v>38</v>
      </c>
      <c r="F222" s="8">
        <v>3192.9467434859866</v>
      </c>
      <c r="G222" s="8">
        <v>2922.5744346195747</v>
      </c>
      <c r="H222">
        <v>571.34428946190303</v>
      </c>
      <c r="I222">
        <v>5175.290087165733</v>
      </c>
    </row>
    <row r="223" spans="3:9" x14ac:dyDescent="0.25">
      <c r="C223" s="8" t="s">
        <v>27</v>
      </c>
      <c r="D223" s="8" t="s">
        <v>114</v>
      </c>
      <c r="E223" s="8" t="s">
        <v>29</v>
      </c>
      <c r="F223" s="8">
        <v>3279.2942418354783</v>
      </c>
      <c r="G223" s="8">
        <v>2368.2120262473491</v>
      </c>
      <c r="H223">
        <v>675.2823052649228</v>
      </c>
      <c r="I223">
        <v>5176.1583550676623</v>
      </c>
    </row>
    <row r="224" spans="3:9" x14ac:dyDescent="0.25">
      <c r="C224" s="8" t="s">
        <v>27</v>
      </c>
      <c r="D224" s="8" t="s">
        <v>114</v>
      </c>
      <c r="E224" s="8" t="s">
        <v>34</v>
      </c>
      <c r="F224" s="8">
        <v>3201.3179425141002</v>
      </c>
      <c r="G224" s="8">
        <v>2814.0921804493028</v>
      </c>
      <c r="H224">
        <v>411.83278071086204</v>
      </c>
      <c r="I224">
        <v>5194.7440122508042</v>
      </c>
    </row>
    <row r="225" spans="3:9" x14ac:dyDescent="0.25">
      <c r="C225" s="8" t="s">
        <v>27</v>
      </c>
      <c r="D225" s="8" t="s">
        <v>116</v>
      </c>
      <c r="E225" s="8" t="s">
        <v>41</v>
      </c>
      <c r="F225" s="8">
        <v>3526.9551984474606</v>
      </c>
      <c r="G225" s="8">
        <v>3444.3664465614524</v>
      </c>
      <c r="H225">
        <v>1161.2621063531026</v>
      </c>
      <c r="I225">
        <v>5396.0383512392827</v>
      </c>
    </row>
    <row r="226" spans="3:9" x14ac:dyDescent="0.25">
      <c r="C226" s="8" t="s">
        <v>27</v>
      </c>
      <c r="D226" s="8" t="s">
        <v>116</v>
      </c>
      <c r="E226" s="8" t="s">
        <v>94</v>
      </c>
      <c r="F226" s="8">
        <v>3570.870851887847</v>
      </c>
      <c r="G226" s="8">
        <v>3469.0762172186301</v>
      </c>
      <c r="H226">
        <v>1096.0692044777261</v>
      </c>
      <c r="I226">
        <v>5423.2804597060849</v>
      </c>
    </row>
    <row r="227" spans="3:9" x14ac:dyDescent="0.25">
      <c r="C227" s="8" t="s">
        <v>27</v>
      </c>
      <c r="D227" s="8" t="s">
        <v>116</v>
      </c>
      <c r="E227" s="8" t="s">
        <v>34</v>
      </c>
      <c r="F227" s="8">
        <v>3548.9524277140135</v>
      </c>
      <c r="G227" s="8">
        <v>3180.3113773775181</v>
      </c>
      <c r="H227">
        <v>1105.3556225455127</v>
      </c>
      <c r="I227">
        <v>5428.6572044568857</v>
      </c>
    </row>
    <row r="228" spans="3:9" x14ac:dyDescent="0.25">
      <c r="C228" s="8" t="s">
        <v>27</v>
      </c>
      <c r="D228" s="8" t="s">
        <v>116</v>
      </c>
      <c r="E228" s="8" t="s">
        <v>36</v>
      </c>
      <c r="F228" s="8">
        <v>3530.9332312318311</v>
      </c>
      <c r="G228" s="8">
        <v>3495.5057534827783</v>
      </c>
      <c r="H228">
        <v>964.12453184229651</v>
      </c>
      <c r="I228">
        <v>5433.3651205776978</v>
      </c>
    </row>
    <row r="229" spans="3:9" x14ac:dyDescent="0.25">
      <c r="C229" s="8" t="s">
        <v>27</v>
      </c>
      <c r="D229" s="8" t="s">
        <v>116</v>
      </c>
      <c r="E229" s="8" t="s">
        <v>35</v>
      </c>
      <c r="F229" s="8">
        <v>3472.5086816774919</v>
      </c>
      <c r="G229" s="8">
        <v>3128.2207865919695</v>
      </c>
      <c r="H229">
        <v>1015.4327887046591</v>
      </c>
      <c r="I229">
        <v>5441.804578212952</v>
      </c>
    </row>
    <row r="230" spans="3:9" x14ac:dyDescent="0.25">
      <c r="C230" s="8" t="s">
        <v>27</v>
      </c>
      <c r="D230" s="8" t="s">
        <v>116</v>
      </c>
      <c r="E230" s="8" t="s">
        <v>38</v>
      </c>
      <c r="F230" s="8">
        <v>3568.1954465877288</v>
      </c>
      <c r="G230" s="8">
        <v>3187.6771642221447</v>
      </c>
      <c r="H230">
        <v>1063.9641172150075</v>
      </c>
      <c r="I230">
        <v>5464.335361880072</v>
      </c>
    </row>
    <row r="231" spans="3:9" x14ac:dyDescent="0.25">
      <c r="C231" s="8" t="s">
        <v>27</v>
      </c>
      <c r="D231" s="8" t="s">
        <v>116</v>
      </c>
      <c r="E231" s="8" t="s">
        <v>29</v>
      </c>
      <c r="F231" s="8">
        <v>3425.8052084622718</v>
      </c>
      <c r="G231" s="8">
        <v>3857.5188122849722</v>
      </c>
      <c r="H231">
        <v>974.52768203437051</v>
      </c>
      <c r="I231">
        <v>5468.0347750761939</v>
      </c>
    </row>
    <row r="232" spans="3:9" x14ac:dyDescent="0.25">
      <c r="C232" s="8" t="s">
        <v>27</v>
      </c>
      <c r="D232" s="8" t="s">
        <v>116</v>
      </c>
      <c r="E232" s="8" t="s">
        <v>40</v>
      </c>
      <c r="F232" s="8">
        <v>3576.699505409324</v>
      </c>
      <c r="G232" s="8">
        <v>3444.5203580436969</v>
      </c>
      <c r="H232">
        <v>1119.2207294572595</v>
      </c>
      <c r="I232">
        <v>5477.5857002287466</v>
      </c>
    </row>
    <row r="233" spans="3:9" x14ac:dyDescent="0.25">
      <c r="C233" s="8" t="s">
        <v>27</v>
      </c>
      <c r="D233" s="8" t="s">
        <v>116</v>
      </c>
      <c r="E233" s="8" t="s">
        <v>37</v>
      </c>
      <c r="F233" s="8">
        <v>3574.2804664693504</v>
      </c>
      <c r="G233" s="8">
        <v>3280.3668015187072</v>
      </c>
      <c r="H233">
        <v>1027.5281726216319</v>
      </c>
      <c r="I233">
        <v>5484.1517078974775</v>
      </c>
    </row>
    <row r="234" spans="3:9" x14ac:dyDescent="0.25">
      <c r="C234" s="8" t="s">
        <v>27</v>
      </c>
      <c r="D234" s="8" t="s">
        <v>116</v>
      </c>
      <c r="E234" s="8" t="s">
        <v>39</v>
      </c>
      <c r="F234" s="8">
        <v>3472.1231194708862</v>
      </c>
      <c r="G234" s="8">
        <v>3766.2985394020229</v>
      </c>
      <c r="H234">
        <v>944.88602567210012</v>
      </c>
      <c r="I234">
        <v>5486.2927320782483</v>
      </c>
    </row>
    <row r="235" spans="3:9" x14ac:dyDescent="0.25">
      <c r="C235" s="8" t="s">
        <v>27</v>
      </c>
      <c r="D235" s="8" t="s">
        <v>115</v>
      </c>
      <c r="E235" s="8" t="s">
        <v>29</v>
      </c>
      <c r="F235" s="8">
        <v>3602.2043166543413</v>
      </c>
      <c r="G235" s="8">
        <v>4640.0917228712588</v>
      </c>
      <c r="H235">
        <v>1297.8020904626999</v>
      </c>
      <c r="I235">
        <v>5530.4642616767105</v>
      </c>
    </row>
    <row r="236" spans="3:9" x14ac:dyDescent="0.25">
      <c r="C236" s="8" t="s">
        <v>27</v>
      </c>
      <c r="D236" s="8" t="s">
        <v>115</v>
      </c>
      <c r="E236" s="8" t="s">
        <v>38</v>
      </c>
      <c r="F236" s="8">
        <v>3629.9633105560565</v>
      </c>
      <c r="G236" s="8">
        <v>4641.6511796307614</v>
      </c>
      <c r="H236">
        <v>1291.1483342966765</v>
      </c>
      <c r="I236">
        <v>5551.3540132339776</v>
      </c>
    </row>
    <row r="237" spans="3:9" x14ac:dyDescent="0.25">
      <c r="C237" s="8" t="s">
        <v>27</v>
      </c>
      <c r="D237" s="8" t="s">
        <v>115</v>
      </c>
      <c r="E237" s="8" t="s">
        <v>35</v>
      </c>
      <c r="F237" s="8">
        <v>3681.7886054224323</v>
      </c>
      <c r="G237" s="8">
        <v>4429.3021373134297</v>
      </c>
      <c r="H237">
        <v>1384.5347124578595</v>
      </c>
      <c r="I237">
        <v>5577.7296049500446</v>
      </c>
    </row>
    <row r="238" spans="3:9" x14ac:dyDescent="0.25">
      <c r="C238" s="8" t="s">
        <v>27</v>
      </c>
      <c r="D238" s="8" t="s">
        <v>117</v>
      </c>
      <c r="E238" s="8" t="s">
        <v>38</v>
      </c>
      <c r="F238" s="8">
        <v>3645.725896946914</v>
      </c>
      <c r="G238" s="8">
        <v>1929.2763490108039</v>
      </c>
      <c r="H238">
        <v>1525.4037405444853</v>
      </c>
      <c r="I238">
        <v>5589.8698886694074</v>
      </c>
    </row>
    <row r="239" spans="3:9" x14ac:dyDescent="0.25">
      <c r="C239" s="8" t="s">
        <v>27</v>
      </c>
      <c r="D239" s="8" t="s">
        <v>115</v>
      </c>
      <c r="E239" s="8" t="s">
        <v>36</v>
      </c>
      <c r="F239" s="8">
        <v>3639.8942661030483</v>
      </c>
      <c r="G239" s="8">
        <v>4479.4606633455123</v>
      </c>
      <c r="H239">
        <v>1243.9045313624733</v>
      </c>
      <c r="I239">
        <v>5596.3714516051077</v>
      </c>
    </row>
    <row r="240" spans="3:9" x14ac:dyDescent="0.25">
      <c r="C240" s="8" t="s">
        <v>27</v>
      </c>
      <c r="D240" s="8" t="s">
        <v>115</v>
      </c>
      <c r="E240" s="8" t="s">
        <v>94</v>
      </c>
      <c r="F240" s="8">
        <v>3641.8626882004837</v>
      </c>
      <c r="G240" s="8">
        <v>4657.6167104706028</v>
      </c>
      <c r="H240">
        <v>1314.7174020851744</v>
      </c>
      <c r="I240">
        <v>5622.9579300592122</v>
      </c>
    </row>
    <row r="241" spans="3:9" x14ac:dyDescent="0.25">
      <c r="C241" s="8" t="s">
        <v>27</v>
      </c>
      <c r="D241" s="8" t="s">
        <v>115</v>
      </c>
      <c r="E241" s="8" t="s">
        <v>34</v>
      </c>
      <c r="F241" s="8">
        <v>3715.0344854721366</v>
      </c>
      <c r="G241" s="8">
        <v>4356.3441319701178</v>
      </c>
      <c r="H241">
        <v>1369.0056335215909</v>
      </c>
      <c r="I241">
        <v>5624.516671975216</v>
      </c>
    </row>
    <row r="242" spans="3:9" x14ac:dyDescent="0.25">
      <c r="C242" s="8" t="s">
        <v>27</v>
      </c>
      <c r="D242" s="8" t="s">
        <v>117</v>
      </c>
      <c r="E242" s="8" t="s">
        <v>94</v>
      </c>
      <c r="F242" s="8">
        <v>3617.4682108522843</v>
      </c>
      <c r="G242" s="8">
        <v>1721.6077123920218</v>
      </c>
      <c r="H242">
        <v>1464.8894456899047</v>
      </c>
      <c r="I242">
        <v>5628.5211002127253</v>
      </c>
    </row>
    <row r="243" spans="3:9" x14ac:dyDescent="0.25">
      <c r="C243" s="8" t="s">
        <v>27</v>
      </c>
      <c r="D243" s="8" t="s">
        <v>115</v>
      </c>
      <c r="E243" s="8" t="s">
        <v>40</v>
      </c>
      <c r="F243" s="8">
        <v>3727.8079892543724</v>
      </c>
      <c r="G243" s="8">
        <v>4623.4779531960485</v>
      </c>
      <c r="H243">
        <v>1389.1223621367151</v>
      </c>
      <c r="I243">
        <v>5630.4859370604008</v>
      </c>
    </row>
    <row r="244" spans="3:9" x14ac:dyDescent="0.25">
      <c r="C244" s="8" t="s">
        <v>27</v>
      </c>
      <c r="D244" s="8" t="s">
        <v>115</v>
      </c>
      <c r="E244" s="8" t="s">
        <v>41</v>
      </c>
      <c r="F244" s="8">
        <v>3657.2412723794719</v>
      </c>
      <c r="G244" s="8">
        <v>4802.3683012592937</v>
      </c>
      <c r="H244">
        <v>1323.6627509560565</v>
      </c>
      <c r="I244">
        <v>5637.840772956908</v>
      </c>
    </row>
    <row r="245" spans="3:9" x14ac:dyDescent="0.25">
      <c r="C245" s="8" t="s">
        <v>27</v>
      </c>
      <c r="D245" s="8" t="s">
        <v>117</v>
      </c>
      <c r="E245" s="8" t="s">
        <v>29</v>
      </c>
      <c r="F245" s="8">
        <v>3675.5293051311628</v>
      </c>
      <c r="G245" s="8">
        <v>2249.9752305484676</v>
      </c>
      <c r="H245">
        <v>1482.0476926967915</v>
      </c>
      <c r="I245">
        <v>5645.9013512969168</v>
      </c>
    </row>
    <row r="246" spans="3:9" x14ac:dyDescent="0.25">
      <c r="C246" s="8" t="s">
        <v>27</v>
      </c>
      <c r="D246" s="8" t="s">
        <v>117</v>
      </c>
      <c r="E246" s="8" t="s">
        <v>35</v>
      </c>
      <c r="F246" s="8">
        <v>3599.7481031680122</v>
      </c>
      <c r="G246" s="8">
        <v>1516.5208482887856</v>
      </c>
      <c r="H246">
        <v>1516.5208482887856</v>
      </c>
      <c r="I246">
        <v>5648.4832479963816</v>
      </c>
    </row>
    <row r="247" spans="3:9" x14ac:dyDescent="0.25">
      <c r="C247" s="8" t="s">
        <v>27</v>
      </c>
      <c r="D247" s="8" t="s">
        <v>115</v>
      </c>
      <c r="E247" s="8" t="s">
        <v>39</v>
      </c>
      <c r="F247" s="8">
        <v>3647.1598035609431</v>
      </c>
      <c r="G247" s="8">
        <v>4786.1896058308366</v>
      </c>
      <c r="H247">
        <v>1263.7255234321692</v>
      </c>
      <c r="I247">
        <v>5656.7785043185913</v>
      </c>
    </row>
    <row r="248" spans="3:9" x14ac:dyDescent="0.25">
      <c r="C248" s="8" t="s">
        <v>27</v>
      </c>
      <c r="D248" s="8" t="s">
        <v>117</v>
      </c>
      <c r="E248" s="8" t="s">
        <v>34</v>
      </c>
      <c r="F248" s="8">
        <v>3645.3471497138662</v>
      </c>
      <c r="G248" s="8">
        <v>1614.5472780212428</v>
      </c>
      <c r="H248">
        <v>1576.8154295865988</v>
      </c>
      <c r="I248">
        <v>5673.9367573705886</v>
      </c>
    </row>
    <row r="249" spans="3:9" x14ac:dyDescent="0.25">
      <c r="C249" s="8" t="s">
        <v>27</v>
      </c>
      <c r="D249" s="8" t="s">
        <v>115</v>
      </c>
      <c r="E249" s="8" t="s">
        <v>37</v>
      </c>
      <c r="F249" s="8">
        <v>3707.8659919212905</v>
      </c>
      <c r="G249" s="8">
        <v>4911.5887589943468</v>
      </c>
      <c r="H249">
        <v>1399.2487227916445</v>
      </c>
      <c r="I249">
        <v>5677.7326628283581</v>
      </c>
    </row>
    <row r="250" spans="3:9" x14ac:dyDescent="0.25">
      <c r="C250" s="8" t="s">
        <v>27</v>
      </c>
      <c r="D250" s="8" t="s">
        <v>117</v>
      </c>
      <c r="E250" s="8" t="s">
        <v>37</v>
      </c>
      <c r="F250" s="8">
        <v>3651.6186539943519</v>
      </c>
      <c r="G250" s="8">
        <v>2132.7569642314961</v>
      </c>
      <c r="H250">
        <v>1520.037735664285</v>
      </c>
      <c r="I250">
        <v>5679.3105807049815</v>
      </c>
    </row>
    <row r="251" spans="3:9" x14ac:dyDescent="0.25">
      <c r="C251" s="8" t="s">
        <v>27</v>
      </c>
      <c r="D251" s="8" t="s">
        <v>117</v>
      </c>
      <c r="E251" s="8" t="s">
        <v>40</v>
      </c>
      <c r="F251" s="8">
        <v>3655.1553315235619</v>
      </c>
      <c r="G251" s="8">
        <v>1598.5511704499436</v>
      </c>
      <c r="H251">
        <v>1588.3774606847928</v>
      </c>
      <c r="I251">
        <v>5682.6410202479437</v>
      </c>
    </row>
    <row r="252" spans="3:9" x14ac:dyDescent="0.25">
      <c r="C252" s="8" t="s">
        <v>27</v>
      </c>
      <c r="D252" s="8" t="s">
        <v>117</v>
      </c>
      <c r="E252" s="8" t="s">
        <v>36</v>
      </c>
      <c r="F252" s="8">
        <v>3693.1130578259331</v>
      </c>
      <c r="G252" s="8">
        <v>1965.8662049991162</v>
      </c>
      <c r="H252">
        <v>1568.3703875014371</v>
      </c>
      <c r="I252">
        <v>5692.9058373391081</v>
      </c>
    </row>
    <row r="253" spans="3:9" x14ac:dyDescent="0.25">
      <c r="C253" s="8" t="s">
        <v>27</v>
      </c>
      <c r="D253" s="8" t="s">
        <v>117</v>
      </c>
      <c r="E253" s="8" t="s">
        <v>41</v>
      </c>
      <c r="F253" s="8">
        <v>3660.9560881167686</v>
      </c>
      <c r="G253" s="8">
        <v>2036.2434685158448</v>
      </c>
      <c r="H253">
        <v>1526.6084095312408</v>
      </c>
      <c r="I253">
        <v>5695.3416962038809</v>
      </c>
    </row>
    <row r="254" spans="3:9" x14ac:dyDescent="0.25">
      <c r="C254" s="8" t="s">
        <v>27</v>
      </c>
      <c r="D254" s="8" t="s">
        <v>117</v>
      </c>
      <c r="E254" s="8" t="s">
        <v>39</v>
      </c>
      <c r="F254" s="8">
        <v>3687.0922174688685</v>
      </c>
      <c r="G254" s="8">
        <v>1831.8005718551949</v>
      </c>
      <c r="H254">
        <v>1551.7232973512291</v>
      </c>
      <c r="I254">
        <v>5737.6928820508829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A9CA5-D8C3-4DFA-87B2-A0C9259BF5D1}">
  <sheetPr codeName="Hoja6"/>
  <dimension ref="B1:N11"/>
  <sheetViews>
    <sheetView topLeftCell="B1" workbookViewId="0">
      <selection activeCell="N4" sqref="N4"/>
    </sheetView>
  </sheetViews>
  <sheetFormatPr baseColWidth="10" defaultRowHeight="15" x14ac:dyDescent="0.25"/>
  <cols>
    <col min="1" max="1" width="4.42578125" customWidth="1"/>
    <col min="2" max="2" width="18" bestFit="1" customWidth="1"/>
    <col min="3" max="5" width="12" bestFit="1" customWidth="1"/>
    <col min="6" max="7" width="14.7109375" bestFit="1" customWidth="1"/>
    <col min="8" max="8" width="18" bestFit="1" customWidth="1"/>
    <col min="9" max="9" width="14.7109375" bestFit="1" customWidth="1"/>
    <col min="10" max="13" width="13.7109375" bestFit="1" customWidth="1"/>
    <col min="14" max="14" width="16.7109375" bestFit="1" customWidth="1"/>
  </cols>
  <sheetData>
    <row r="1" spans="2:14" ht="15.75" thickBot="1" x14ac:dyDescent="0.3"/>
    <row r="2" spans="2:14" x14ac:dyDescent="0.25">
      <c r="B2" s="56" t="s">
        <v>47</v>
      </c>
      <c r="C2" s="57"/>
      <c r="D2" s="57"/>
      <c r="E2" s="57"/>
      <c r="F2" s="57"/>
      <c r="G2" s="57"/>
      <c r="H2" s="57"/>
      <c r="I2" s="58"/>
      <c r="J2" s="56" t="s">
        <v>56</v>
      </c>
      <c r="K2" s="57"/>
      <c r="L2" s="57"/>
      <c r="M2" s="57"/>
      <c r="N2" s="58"/>
    </row>
    <row r="3" spans="2:14" x14ac:dyDescent="0.25">
      <c r="B3" s="11" t="s">
        <v>48</v>
      </c>
      <c r="C3" s="7" t="s">
        <v>49</v>
      </c>
      <c r="D3" s="7" t="s">
        <v>50</v>
      </c>
      <c r="E3" s="7" t="s">
        <v>51</v>
      </c>
      <c r="F3" s="7" t="s">
        <v>52</v>
      </c>
      <c r="G3" s="7" t="s">
        <v>53</v>
      </c>
      <c r="H3" s="7" t="s">
        <v>54</v>
      </c>
      <c r="I3" s="12" t="s">
        <v>55</v>
      </c>
      <c r="J3" s="11" t="s">
        <v>57</v>
      </c>
      <c r="K3" s="7" t="s">
        <v>58</v>
      </c>
      <c r="L3" s="7" t="s">
        <v>59</v>
      </c>
      <c r="M3" s="7" t="s">
        <v>60</v>
      </c>
      <c r="N3" s="12" t="s">
        <v>61</v>
      </c>
    </row>
    <row r="4" spans="2:14" ht="15.75" thickBot="1" x14ac:dyDescent="0.3">
      <c r="B4" s="22">
        <f>'Variables de control'!$D$4</f>
        <v>6000</v>
      </c>
      <c r="C4" s="23">
        <f>'Variables de control'!$D$5</f>
        <v>6000</v>
      </c>
      <c r="D4" s="23">
        <f>'Variables de control'!$D$6</f>
        <v>6000</v>
      </c>
      <c r="E4" s="23">
        <f>'Variables de control'!$D$7</f>
        <v>6000</v>
      </c>
      <c r="F4" s="23">
        <f>'Variables de control'!$H$4</f>
        <v>2000</v>
      </c>
      <c r="G4" s="23">
        <f>'Variables de control'!$H$5</f>
        <v>2000</v>
      </c>
      <c r="H4" s="23">
        <f>'Variables de control'!$H$6</f>
        <v>2000</v>
      </c>
      <c r="I4" s="24">
        <f>'Variables de control'!$H$7</f>
        <v>2000</v>
      </c>
      <c r="J4" s="25">
        <f>AVERAGEIFS('Resultados de la simulacion'!F:F,'Resultados de la simulacion'!D:D,"=Nivel de servicio1")</f>
        <v>1</v>
      </c>
      <c r="K4" s="26">
        <f>AVERAGEIFS('Resultados de la simulacion'!F:F,'Resultados de la simulacion'!D:D,"=Nivel de servicio2")</f>
        <v>1</v>
      </c>
      <c r="L4" s="26">
        <f>AVERAGEIFS('Resultados de la simulacion'!F:F,'Resultados de la simulacion'!D:D,"=Nivel de servicio3")</f>
        <v>1</v>
      </c>
      <c r="M4" s="26">
        <f>AVERAGEIFS('Resultados de la simulacion'!F:F,'Resultados de la simulacion'!D:D,"=Nivel de servicio4")</f>
        <v>1</v>
      </c>
      <c r="N4" s="27">
        <f>AVERAGEIFS('Resultados de la simulacion'!G:G,'Resultados de la simulacion'!D:D,"=costo_total")</f>
        <v>6593583.3207600461</v>
      </c>
    </row>
    <row r="5" spans="2:14" ht="15.75" thickBot="1" x14ac:dyDescent="0.3"/>
    <row r="6" spans="2:14" x14ac:dyDescent="0.25">
      <c r="B6" s="56" t="s">
        <v>120</v>
      </c>
      <c r="C6" s="57"/>
      <c r="D6" s="57"/>
      <c r="E6" s="57"/>
      <c r="F6" s="58"/>
      <c r="H6" s="59" t="s">
        <v>128</v>
      </c>
      <c r="I6" s="60"/>
      <c r="J6" s="60"/>
      <c r="K6" s="60"/>
      <c r="L6" s="61"/>
    </row>
    <row r="7" spans="2:14" x14ac:dyDescent="0.25">
      <c r="B7" s="11" t="s">
        <v>127</v>
      </c>
      <c r="C7" s="7" t="s">
        <v>123</v>
      </c>
      <c r="D7" s="7" t="s">
        <v>124</v>
      </c>
      <c r="E7" s="7" t="s">
        <v>125</v>
      </c>
      <c r="F7" s="12" t="s">
        <v>126</v>
      </c>
      <c r="H7" s="11" t="s">
        <v>129</v>
      </c>
      <c r="I7" s="7" t="s">
        <v>123</v>
      </c>
      <c r="J7" s="7" t="s">
        <v>124</v>
      </c>
      <c r="K7" s="7" t="s">
        <v>125</v>
      </c>
      <c r="L7" s="12" t="s">
        <v>126</v>
      </c>
    </row>
    <row r="8" spans="2:14" x14ac:dyDescent="0.25">
      <c r="B8" s="11" t="s">
        <v>121</v>
      </c>
      <c r="C8" s="6">
        <f>ROUND(_xlfn.MINIFS('Resultados de la simulacion'!H:H,'Resultados de la simulacion'!D:D,"=Nivel de inventario1"),0)</f>
        <v>945</v>
      </c>
      <c r="D8" s="6">
        <f>ROUND(_xlfn.MINIFS('Resultados de la simulacion'!H:H,'Resultados de la simulacion'!D:D,"=Nivel de inventario2"),0)</f>
        <v>1465</v>
      </c>
      <c r="E8" s="6">
        <f>ROUND(_xlfn.MINIFS('Resultados de la simulacion'!H:H,'Resultados de la simulacion'!D:D,"=Nivel de inventario3"),0)</f>
        <v>310</v>
      </c>
      <c r="F8" s="45">
        <f>ROUND(_xlfn.MINIFS('Resultados de la simulacion'!H:H,'Resultados de la simulacion'!D:D,"=Nivel de inventario4"),0)</f>
        <v>1244</v>
      </c>
      <c r="H8" s="11" t="s">
        <v>130</v>
      </c>
      <c r="I8" s="6">
        <f>ROUND(AVERAGEIFS('Resultados de la simulacion'!F:F,'Resultados de la simulacion'!D:D,"=Cantidad_Ordenada_F1P1"),0)</f>
        <v>437</v>
      </c>
      <c r="J8" s="6">
        <f>ROUND(AVERAGEIFS('Resultados de la simulacion'!F:F,'Resultados de la simulacion'!D:D,"=Cantidad_Ordenada_F1P2"),0)</f>
        <v>242</v>
      </c>
      <c r="K8" s="6">
        <f>ROUND(AVERAGEIFS('Resultados de la simulacion'!F:F,'Resultados de la simulacion'!D:D,"=Cantidad_Ordenada_F1P3"),0)</f>
        <v>702</v>
      </c>
      <c r="L8" s="45">
        <f>ROUND(AVERAGEIFS('Resultados de la simulacion'!F:F,'Resultados de la simulacion'!D:D,"=Cantidad_Ordenada_F1P4"),0)</f>
        <v>220</v>
      </c>
    </row>
    <row r="9" spans="2:14" x14ac:dyDescent="0.25">
      <c r="B9" s="11" t="s">
        <v>122</v>
      </c>
      <c r="C9" s="6">
        <f>ROUND(_xlfn.MAXIFS('Resultados de la simulacion'!I:I,'Resultados de la simulacion'!D:D,"=Nivel de inventario1"),0)</f>
        <v>5486</v>
      </c>
      <c r="D9" s="6">
        <f>ROUND(_xlfn.MAXIFS('Resultados de la simulacion'!I:I,'Resultados de la simulacion'!D:D,"=Nivel de inventario2"),0)</f>
        <v>5738</v>
      </c>
      <c r="E9" s="6">
        <f>ROUND(_xlfn.MAXIFS('Resultados de la simulacion'!I:I,'Resultados de la simulacion'!D:D,"=Nivel de inventario3"),0)</f>
        <v>5195</v>
      </c>
      <c r="F9" s="45">
        <f>ROUND(_xlfn.MAXIFS('Resultados de la simulacion'!I:I,'Resultados de la simulacion'!D:D,"=Nivel de inventario4"),0)</f>
        <v>5678</v>
      </c>
      <c r="H9" s="11" t="s">
        <v>131</v>
      </c>
      <c r="I9" s="6">
        <f>ROUND(AVERAGEIFS('Resultados de la simulacion'!F:F,'Resultados de la simulacion'!D:D,"=Cantidad_Ordenada_F2P1"),0)</f>
        <v>8</v>
      </c>
      <c r="J9" s="6">
        <f>ROUND(AVERAGEIFS('Resultados de la simulacion'!F:F,'Resultados de la simulacion'!D:D,"=Cantidad_Ordenada_F2P2"),0)</f>
        <v>2</v>
      </c>
      <c r="K9" s="6">
        <f>ROUND(AVERAGEIFS('Resultados de la simulacion'!F:F,'Resultados de la simulacion'!D:D,"=Cantidad_Ordenada_F2P3"),0)</f>
        <v>0</v>
      </c>
      <c r="L9" s="45">
        <f>ROUND(AVERAGEIFS('Resultados de la simulacion'!F:F,'Resultados de la simulacion'!D:D,"=Cantidad_Ordenada_F2P4"),0)</f>
        <v>87</v>
      </c>
    </row>
    <row r="10" spans="2:14" ht="15.75" thickBot="1" x14ac:dyDescent="0.3">
      <c r="B10" s="48" t="s">
        <v>45</v>
      </c>
      <c r="C10" s="46">
        <f>ROUND(AVERAGEIFS('Resultados de la simulacion'!F:F,'Resultados de la simulacion'!D:D,"=Nivel de inventario1"),0)</f>
        <v>3527</v>
      </c>
      <c r="D10" s="46">
        <f>ROUND(_xlfn.MINIFS('Resultados de la simulacion'!F:F,'Resultados de la simulacion'!D:D,"=Nivel de inventario2"),0)</f>
        <v>3600</v>
      </c>
      <c r="E10" s="46">
        <f>ROUND(_xlfn.MINIFS('Resultados de la simulacion'!F:F,'Resultados de la simulacion'!D:D,"=Nivel de inventario3"),0)</f>
        <v>3106</v>
      </c>
      <c r="F10" s="47">
        <f>ROUND(_xlfn.MINIFS('Resultados de la simulacion'!F:F,'Resultados de la simulacion'!D:D,"=Nivel de inventario4"),0)</f>
        <v>3602</v>
      </c>
      <c r="H10" s="11" t="s">
        <v>132</v>
      </c>
      <c r="I10" s="6">
        <f>ROUND(AVERAGEIFS('Resultados de la simulacion'!F:F,'Resultados de la simulacion'!D:D,"=Cantidad_Ordenada_F3P1"),0)</f>
        <v>0</v>
      </c>
      <c r="J10" s="6">
        <f>ROUND(AVERAGEIFS('Resultados de la simulacion'!F:F,'Resultados de la simulacion'!D:D,"=Cantidad_Ordenada_F3P2"),0)</f>
        <v>0</v>
      </c>
      <c r="K10" s="6">
        <f>ROUND(AVERAGEIFS('Resultados de la simulacion'!F:F,'Resultados de la simulacion'!D:D,"=Cantidad_Ordenada_F3P3"),0)</f>
        <v>0</v>
      </c>
      <c r="L10" s="45">
        <f>ROUND(AVERAGEIFS('Resultados de la simulacion'!F:F,'Resultados de la simulacion'!D:D,"=Cantidad_Ordenada_F3P4"),0)</f>
        <v>0</v>
      </c>
    </row>
    <row r="11" spans="2:14" ht="15.75" thickBot="1" x14ac:dyDescent="0.3">
      <c r="H11" s="48" t="s">
        <v>133</v>
      </c>
      <c r="I11" s="46">
        <f>ROUND(AVERAGEIFS('Resultados de la simulacion'!F:F,'Resultados de la simulacion'!D:D,"=Cantidad_Ordenada_F4P1"),0)</f>
        <v>0</v>
      </c>
      <c r="J11" s="46">
        <f>ROUND(AVERAGEIFS('Resultados de la simulacion'!F:F,'Resultados de la simulacion'!D:D,"=Cantidad_Ordenada_F4P2"),0)</f>
        <v>0</v>
      </c>
      <c r="K11" s="46">
        <f>ROUND(AVERAGEIFS('Resultados de la simulacion'!F:F,'Resultados de la simulacion'!D:D,"=Cantidad_Ordenada_F4P3"),0)</f>
        <v>0</v>
      </c>
      <c r="L11" s="47">
        <f>ROUND(AVERAGEIFS('Resultados de la simulacion'!F:F,'Resultados de la simulacion'!D:D,"=Cantidad_Ordenada_F4P4"),0)</f>
        <v>0</v>
      </c>
    </row>
  </sheetData>
  <sheetProtection algorithmName="SHA-512" hashValue="GTd4odhoiGq3ChANasXJR/U9pMdAVeOpJaPrqXqbPphNz9214pJA9wx5o46YhdGjaTPdJ031/oWPYH5uO6RWDw==" saltValue="xg3WBEoDOAE2xFYu/F1L5A==" spinCount="100000" sheet="1" objects="1" scenarios="1"/>
  <mergeCells count="4">
    <mergeCell ref="B2:I2"/>
    <mergeCell ref="J2:N2"/>
    <mergeCell ref="B6:F6"/>
    <mergeCell ref="H6:L6"/>
  </mergeCells>
  <phoneticPr fontId="6" type="noConversion"/>
  <conditionalFormatting sqref="J4">
    <cfRule type="cellIs" dxfId="11" priority="4" operator="lessThan">
      <formula>0.95</formula>
    </cfRule>
    <cfRule type="colorScale" priority="5">
      <colorScale>
        <cfvo type="min"/>
        <cfvo type="max"/>
        <color rgb="FFF8696B"/>
        <color rgb="FFFCFCFF"/>
      </colorScale>
    </cfRule>
  </conditionalFormatting>
  <conditionalFormatting sqref="K4">
    <cfRule type="cellIs" dxfId="10" priority="3" operator="lessThan">
      <formula>0.95</formula>
    </cfRule>
  </conditionalFormatting>
  <conditionalFormatting sqref="L4">
    <cfRule type="cellIs" dxfId="9" priority="2" operator="lessThan">
      <formula>0.95</formula>
    </cfRule>
  </conditionalFormatting>
  <conditionalFormatting sqref="M4">
    <cfRule type="cellIs" dxfId="8" priority="1" operator="lessThan">
      <formula>0.95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91E7A-27F6-489A-93AC-1BF97C54AC64}">
  <sheetPr codeName="Hoja5"/>
  <dimension ref="B2:C6"/>
  <sheetViews>
    <sheetView workbookViewId="0">
      <selection activeCell="D6" sqref="D6"/>
    </sheetView>
  </sheetViews>
  <sheetFormatPr baseColWidth="10" defaultRowHeight="15" x14ac:dyDescent="0.25"/>
  <cols>
    <col min="2" max="2" width="19" bestFit="1" customWidth="1"/>
    <col min="3" max="3" width="13" bestFit="1" customWidth="1"/>
  </cols>
  <sheetData>
    <row r="2" spans="2:3" ht="15.75" thickBot="1" x14ac:dyDescent="0.3">
      <c r="B2" t="s">
        <v>137</v>
      </c>
      <c r="C2" s="27">
        <v>6593583.3207600461</v>
      </c>
    </row>
    <row r="3" spans="2:3" ht="15.75" thickBot="1" x14ac:dyDescent="0.3">
      <c r="B3" t="s">
        <v>138</v>
      </c>
      <c r="C3" s="27">
        <v>6400378.796278229</v>
      </c>
    </row>
    <row r="5" spans="2:3" ht="15.75" thickBot="1" x14ac:dyDescent="0.3">
      <c r="B5" t="s">
        <v>140</v>
      </c>
      <c r="C5" s="27">
        <f>C2+C3</f>
        <v>12993962.117038276</v>
      </c>
    </row>
    <row r="6" spans="2:3" ht="15.75" thickBot="1" x14ac:dyDescent="0.3">
      <c r="B6" t="s">
        <v>141</v>
      </c>
      <c r="C6" s="27">
        <v>12070513.254010795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BDF2-8D13-4050-B00B-CA8C1C7F957D}">
  <sheetPr codeName="Hoja8"/>
  <dimension ref="B1:N11"/>
  <sheetViews>
    <sheetView topLeftCell="B1" workbookViewId="0">
      <selection activeCell="B3" sqref="B3"/>
    </sheetView>
  </sheetViews>
  <sheetFormatPr baseColWidth="10" defaultRowHeight="15" x14ac:dyDescent="0.25"/>
  <cols>
    <col min="1" max="1" width="4.42578125" customWidth="1"/>
    <col min="2" max="2" width="18" bestFit="1" customWidth="1"/>
    <col min="3" max="5" width="12" bestFit="1" customWidth="1"/>
    <col min="6" max="7" width="14.7109375" bestFit="1" customWidth="1"/>
    <col min="8" max="8" width="18" bestFit="1" customWidth="1"/>
    <col min="9" max="9" width="14.7109375" bestFit="1" customWidth="1"/>
    <col min="10" max="13" width="13.7109375" bestFit="1" customWidth="1"/>
    <col min="14" max="14" width="16.7109375" bestFit="1" customWidth="1"/>
  </cols>
  <sheetData>
    <row r="1" spans="2:14" ht="15.75" thickBot="1" x14ac:dyDescent="0.3"/>
    <row r="2" spans="2:14" x14ac:dyDescent="0.25">
      <c r="B2" s="56" t="s">
        <v>47</v>
      </c>
      <c r="C2" s="57"/>
      <c r="D2" s="57"/>
      <c r="E2" s="57"/>
      <c r="F2" s="57"/>
      <c r="G2" s="57"/>
      <c r="H2" s="57"/>
      <c r="I2" s="58"/>
      <c r="J2" s="56" t="s">
        <v>56</v>
      </c>
      <c r="K2" s="57"/>
      <c r="L2" s="57"/>
      <c r="M2" s="57"/>
      <c r="N2" s="58"/>
    </row>
    <row r="3" spans="2:14" x14ac:dyDescent="0.25">
      <c r="B3" s="11" t="s">
        <v>48</v>
      </c>
      <c r="C3" s="7" t="s">
        <v>49</v>
      </c>
      <c r="D3" s="7" t="s">
        <v>50</v>
      </c>
      <c r="E3" s="7" t="s">
        <v>51</v>
      </c>
      <c r="F3" s="7" t="s">
        <v>52</v>
      </c>
      <c r="G3" s="7" t="s">
        <v>53</v>
      </c>
      <c r="H3" s="7" t="s">
        <v>54</v>
      </c>
      <c r="I3" s="12" t="s">
        <v>55</v>
      </c>
      <c r="J3" s="11" t="s">
        <v>57</v>
      </c>
      <c r="K3" s="7" t="s">
        <v>58</v>
      </c>
      <c r="L3" s="7" t="s">
        <v>59</v>
      </c>
      <c r="M3" s="7" t="s">
        <v>60</v>
      </c>
      <c r="N3" s="12" t="s">
        <v>61</v>
      </c>
    </row>
    <row r="4" spans="2:14" ht="15.75" thickBot="1" x14ac:dyDescent="0.3">
      <c r="B4" s="22">
        <f>'Variables de control'!$D$4</f>
        <v>6000</v>
      </c>
      <c r="C4" s="23">
        <f>'Variables de control'!$D$5</f>
        <v>6000</v>
      </c>
      <c r="D4" s="23">
        <f>'Variables de control'!$D$6</f>
        <v>6000</v>
      </c>
      <c r="E4" s="23">
        <f>'Variables de control'!$D$7</f>
        <v>6000</v>
      </c>
      <c r="F4" s="23">
        <f>'Variables de control'!$H$4</f>
        <v>2000</v>
      </c>
      <c r="G4" s="23">
        <f>'Variables de control'!$H$5</f>
        <v>2000</v>
      </c>
      <c r="H4" s="23">
        <f>'Variables de control'!$H$6</f>
        <v>2000</v>
      </c>
      <c r="I4" s="24">
        <f>'Variables de control'!$H$7</f>
        <v>2000</v>
      </c>
      <c r="J4" s="25">
        <f>AVERAGEIFS('Resultados de la simulacion'!F:F,'Resultados de la simulacion'!D:D,"=Nivel de servicio1")</f>
        <v>1</v>
      </c>
      <c r="K4" s="26">
        <f>AVERAGEIFS('Resultados de la simulacion'!F:F,'Resultados de la simulacion'!D:D,"=Nivel de servicio2")</f>
        <v>1</v>
      </c>
      <c r="L4" s="26">
        <f>AVERAGEIFS('Resultados de la simulacion'!F:F,'Resultados de la simulacion'!D:D,"=Nivel de servicio3")</f>
        <v>1</v>
      </c>
      <c r="M4" s="26">
        <f>AVERAGEIFS('Resultados de la simulacion'!F:F,'Resultados de la simulacion'!D:D,"=Nivel de servicio4")</f>
        <v>1</v>
      </c>
      <c r="N4" s="27">
        <f>AVERAGEIFS('Resultados de la simulacion'!G:G,'Resultados de la simulacion'!D:D,"=costo_total")</f>
        <v>6593583.3207600461</v>
      </c>
    </row>
    <row r="5" spans="2:14" ht="15.75" thickBot="1" x14ac:dyDescent="0.3"/>
    <row r="6" spans="2:14" x14ac:dyDescent="0.25">
      <c r="B6" s="56" t="s">
        <v>120</v>
      </c>
      <c r="C6" s="57"/>
      <c r="D6" s="57"/>
      <c r="E6" s="57"/>
      <c r="F6" s="58"/>
      <c r="H6" s="59" t="s">
        <v>128</v>
      </c>
      <c r="I6" s="60"/>
      <c r="J6" s="60"/>
      <c r="K6" s="60"/>
      <c r="L6" s="61"/>
    </row>
    <row r="7" spans="2:14" x14ac:dyDescent="0.25">
      <c r="B7" s="11" t="s">
        <v>127</v>
      </c>
      <c r="C7" s="7" t="s">
        <v>123</v>
      </c>
      <c r="D7" s="7" t="s">
        <v>124</v>
      </c>
      <c r="E7" s="7" t="s">
        <v>125</v>
      </c>
      <c r="F7" s="12" t="s">
        <v>126</v>
      </c>
      <c r="H7" s="11" t="s">
        <v>129</v>
      </c>
      <c r="I7" s="7" t="s">
        <v>123</v>
      </c>
      <c r="J7" s="7" t="s">
        <v>124</v>
      </c>
      <c r="K7" s="7" t="s">
        <v>125</v>
      </c>
      <c r="L7" s="12" t="s">
        <v>126</v>
      </c>
    </row>
    <row r="8" spans="2:14" x14ac:dyDescent="0.25">
      <c r="B8" s="11" t="s">
        <v>121</v>
      </c>
      <c r="C8" s="6">
        <f>ROUND(_xlfn.MINIFS('Resultados de la simulacion'!H:H,'Resultados de la simulacion'!D:D,"=Nivel de inventario1"),0)</f>
        <v>945</v>
      </c>
      <c r="D8" s="6">
        <f>ROUND(_xlfn.MINIFS('Resultados de la simulacion'!H:H,'Resultados de la simulacion'!D:D,"=Nivel de inventario2"),0)</f>
        <v>1465</v>
      </c>
      <c r="E8" s="6">
        <f>ROUND(_xlfn.MINIFS('Resultados de la simulacion'!H:H,'Resultados de la simulacion'!D:D,"=Nivel de inventario3"),0)</f>
        <v>310</v>
      </c>
      <c r="F8" s="45">
        <f>ROUND(_xlfn.MINIFS('Resultados de la simulacion'!H:H,'Resultados de la simulacion'!D:D,"=Nivel de inventario4"),0)</f>
        <v>1244</v>
      </c>
      <c r="H8" s="11" t="s">
        <v>130</v>
      </c>
      <c r="I8" s="6">
        <f>ROUND(AVERAGEIFS('Resultados de la simulacion'!F:F,'Resultados de la simulacion'!D:D,"=Cantidad_Ordenada_F1P1"),0)</f>
        <v>437</v>
      </c>
      <c r="J8" s="6">
        <f>ROUND(AVERAGEIFS('Resultados de la simulacion'!F:F,'Resultados de la simulacion'!D:D,"=Cantidad_Ordenada_F1P2"),0)</f>
        <v>242</v>
      </c>
      <c r="K8" s="6">
        <f>ROUND(AVERAGEIFS('Resultados de la simulacion'!F:F,'Resultados de la simulacion'!D:D,"=Cantidad_Ordenada_F1P3"),0)</f>
        <v>702</v>
      </c>
      <c r="L8" s="45">
        <f>ROUND(AVERAGEIFS('Resultados de la simulacion'!F:F,'Resultados de la simulacion'!D:D,"=Cantidad_Ordenada_F1P4"),0)</f>
        <v>220</v>
      </c>
    </row>
    <row r="9" spans="2:14" x14ac:dyDescent="0.25">
      <c r="B9" s="11" t="s">
        <v>122</v>
      </c>
      <c r="C9" s="6">
        <f>ROUND(_xlfn.MAXIFS('Resultados de la simulacion'!I:I,'Resultados de la simulacion'!D:D,"=Nivel de inventario1"),0)</f>
        <v>5486</v>
      </c>
      <c r="D9" s="6">
        <f>ROUND(_xlfn.MAXIFS('Resultados de la simulacion'!I:I,'Resultados de la simulacion'!D:D,"=Nivel de inventario2"),0)</f>
        <v>5738</v>
      </c>
      <c r="E9" s="6">
        <f>ROUND(_xlfn.MAXIFS('Resultados de la simulacion'!I:I,'Resultados de la simulacion'!D:D,"=Nivel de inventario3"),0)</f>
        <v>5195</v>
      </c>
      <c r="F9" s="45">
        <f>ROUND(_xlfn.MAXIFS('Resultados de la simulacion'!I:I,'Resultados de la simulacion'!D:D,"=Nivel de inventario4"),0)</f>
        <v>5678</v>
      </c>
      <c r="H9" s="11" t="s">
        <v>131</v>
      </c>
      <c r="I9" s="6">
        <f>ROUND(AVERAGEIFS('Resultados de la simulacion'!F:F,'Resultados de la simulacion'!D:D,"=Cantidad_Ordenada_F2P1"),0)</f>
        <v>8</v>
      </c>
      <c r="J9" s="6">
        <f>ROUND(AVERAGEIFS('Resultados de la simulacion'!F:F,'Resultados de la simulacion'!D:D,"=Cantidad_Ordenada_F2P2"),0)</f>
        <v>2</v>
      </c>
      <c r="K9" s="6">
        <f>ROUND(AVERAGEIFS('Resultados de la simulacion'!F:F,'Resultados de la simulacion'!D:D,"=Cantidad_Ordenada_F2P3"),0)</f>
        <v>0</v>
      </c>
      <c r="L9" s="45">
        <f>ROUND(AVERAGEIFS('Resultados de la simulacion'!F:F,'Resultados de la simulacion'!D:D,"=Cantidad_Ordenada_F2P4"),0)</f>
        <v>87</v>
      </c>
    </row>
    <row r="10" spans="2:14" ht="15.75" thickBot="1" x14ac:dyDescent="0.3">
      <c r="B10" s="48" t="s">
        <v>45</v>
      </c>
      <c r="C10" s="46">
        <f>ROUND(AVERAGEIFS('Resultados de la simulacion'!F:F,'Resultados de la simulacion'!D:D,"=Nivel de inventario1"),0)</f>
        <v>3527</v>
      </c>
      <c r="D10" s="46">
        <f>ROUND(_xlfn.MINIFS('Resultados de la simulacion'!F:F,'Resultados de la simulacion'!D:D,"=Nivel de inventario2"),0)</f>
        <v>3600</v>
      </c>
      <c r="E10" s="46">
        <f>ROUND(_xlfn.MINIFS('Resultados de la simulacion'!F:F,'Resultados de la simulacion'!D:D,"=Nivel de inventario3"),0)</f>
        <v>3106</v>
      </c>
      <c r="F10" s="47">
        <f>ROUND(_xlfn.MINIFS('Resultados de la simulacion'!F:F,'Resultados de la simulacion'!D:D,"=Nivel de inventario4"),0)</f>
        <v>3602</v>
      </c>
      <c r="H10" s="11" t="s">
        <v>132</v>
      </c>
      <c r="I10" s="6">
        <f>ROUND(AVERAGEIFS('Resultados de la simulacion'!F:F,'Resultados de la simulacion'!D:D,"=Cantidad_Ordenada_F3P1"),0)</f>
        <v>0</v>
      </c>
      <c r="J10" s="6">
        <f>ROUND(AVERAGEIFS('Resultados de la simulacion'!F:F,'Resultados de la simulacion'!D:D,"=Cantidad_Ordenada_F3P2"),0)</f>
        <v>0</v>
      </c>
      <c r="K10" s="6">
        <f>ROUND(AVERAGEIFS('Resultados de la simulacion'!F:F,'Resultados de la simulacion'!D:D,"=Cantidad_Ordenada_F3P3"),0)</f>
        <v>0</v>
      </c>
      <c r="L10" s="45">
        <f>ROUND(AVERAGEIFS('Resultados de la simulacion'!F:F,'Resultados de la simulacion'!D:D,"=Cantidad_Ordenada_F3P4"),0)</f>
        <v>0</v>
      </c>
    </row>
    <row r="11" spans="2:14" ht="15.75" thickBot="1" x14ac:dyDescent="0.3">
      <c r="H11" s="48" t="s">
        <v>133</v>
      </c>
      <c r="I11" s="46">
        <f>ROUND(AVERAGEIFS('Resultados de la simulacion'!F:F,'Resultados de la simulacion'!D:D,"=Cantidad_Ordenada_F4P1"),0)</f>
        <v>0</v>
      </c>
      <c r="J11" s="46">
        <f>ROUND(AVERAGEIFS('Resultados de la simulacion'!F:F,'Resultados de la simulacion'!D:D,"=Cantidad_Ordenada_F4P2"),0)</f>
        <v>0</v>
      </c>
      <c r="K11" s="46">
        <f>ROUND(AVERAGEIFS('Resultados de la simulacion'!F:F,'Resultados de la simulacion'!D:D,"=Cantidad_Ordenada_F4P3"),0)</f>
        <v>0</v>
      </c>
      <c r="L11" s="47">
        <f>ROUND(AVERAGEIFS('Resultados de la simulacion'!F:F,'Resultados de la simulacion'!D:D,"=Cantidad_Ordenada_F4P4"),0)</f>
        <v>0</v>
      </c>
    </row>
  </sheetData>
  <sheetProtection algorithmName="SHA-512" hashValue="GTd4odhoiGq3ChANasXJR/U9pMdAVeOpJaPrqXqbPphNz9214pJA9wx5o46YhdGjaTPdJ031/oWPYH5uO6RWDw==" saltValue="xg3WBEoDOAE2xFYu/F1L5A==" spinCount="100000" sheet="1" objects="1" scenarios="1"/>
  <mergeCells count="4">
    <mergeCell ref="B2:I2"/>
    <mergeCell ref="J2:N2"/>
    <mergeCell ref="B6:F6"/>
    <mergeCell ref="H6:L6"/>
  </mergeCells>
  <conditionalFormatting sqref="J4">
    <cfRule type="cellIs" dxfId="7" priority="4" operator="lessThan">
      <formula>0.95</formula>
    </cfRule>
    <cfRule type="colorScale" priority="5">
      <colorScale>
        <cfvo type="min"/>
        <cfvo type="max"/>
        <color rgb="FFF8696B"/>
        <color rgb="FFFCFCFF"/>
      </colorScale>
    </cfRule>
  </conditionalFormatting>
  <conditionalFormatting sqref="K4">
    <cfRule type="cellIs" dxfId="6" priority="3" operator="lessThan">
      <formula>0.95</formula>
    </cfRule>
  </conditionalFormatting>
  <conditionalFormatting sqref="L4">
    <cfRule type="cellIs" dxfId="5" priority="2" operator="lessThan">
      <formula>0.95</formula>
    </cfRule>
  </conditionalFormatting>
  <conditionalFormatting sqref="M4">
    <cfRule type="cellIs" dxfId="4" priority="1" operator="lessThan">
      <formula>0.95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5EF5-1F7A-48D4-B1F2-212CCDFAEC5B}">
  <sheetPr codeName="Hoja9"/>
  <dimension ref="B1:N11"/>
  <sheetViews>
    <sheetView topLeftCell="B1" workbookViewId="0">
      <selection activeCell="F16" sqref="F16"/>
    </sheetView>
  </sheetViews>
  <sheetFormatPr baseColWidth="10" defaultRowHeight="15" x14ac:dyDescent="0.25"/>
  <cols>
    <col min="1" max="1" width="4.42578125" customWidth="1"/>
    <col min="2" max="2" width="18" bestFit="1" customWidth="1"/>
    <col min="3" max="5" width="12" bestFit="1" customWidth="1"/>
    <col min="6" max="7" width="14.7109375" bestFit="1" customWidth="1"/>
    <col min="8" max="8" width="18" bestFit="1" customWidth="1"/>
    <col min="9" max="9" width="14.7109375" bestFit="1" customWidth="1"/>
    <col min="10" max="13" width="13.7109375" bestFit="1" customWidth="1"/>
    <col min="14" max="14" width="16.7109375" bestFit="1" customWidth="1"/>
  </cols>
  <sheetData>
    <row r="1" spans="2:14" ht="15.75" thickBot="1" x14ac:dyDescent="0.3"/>
    <row r="2" spans="2:14" x14ac:dyDescent="0.25">
      <c r="B2" s="56" t="s">
        <v>47</v>
      </c>
      <c r="C2" s="57"/>
      <c r="D2" s="57"/>
      <c r="E2" s="57"/>
      <c r="F2" s="57"/>
      <c r="G2" s="57"/>
      <c r="H2" s="57"/>
      <c r="I2" s="58"/>
      <c r="J2" s="56" t="s">
        <v>56</v>
      </c>
      <c r="K2" s="57"/>
      <c r="L2" s="57"/>
      <c r="M2" s="57"/>
      <c r="N2" s="58"/>
    </row>
    <row r="3" spans="2:14" x14ac:dyDescent="0.25">
      <c r="B3" s="11" t="s">
        <v>48</v>
      </c>
      <c r="C3" s="7" t="s">
        <v>49</v>
      </c>
      <c r="D3" s="7" t="s">
        <v>50</v>
      </c>
      <c r="E3" s="7" t="s">
        <v>51</v>
      </c>
      <c r="F3" s="7" t="s">
        <v>52</v>
      </c>
      <c r="G3" s="7" t="s">
        <v>53</v>
      </c>
      <c r="H3" s="7" t="s">
        <v>54</v>
      </c>
      <c r="I3" s="12" t="s">
        <v>55</v>
      </c>
      <c r="J3" s="11" t="s">
        <v>57</v>
      </c>
      <c r="K3" s="7" t="s">
        <v>58</v>
      </c>
      <c r="L3" s="7" t="s">
        <v>59</v>
      </c>
      <c r="M3" s="7" t="s">
        <v>60</v>
      </c>
      <c r="N3" s="12" t="s">
        <v>61</v>
      </c>
    </row>
    <row r="4" spans="2:14" ht="15.75" thickBot="1" x14ac:dyDescent="0.3">
      <c r="B4" s="22">
        <f>'Variables de control'!$D$4</f>
        <v>6000</v>
      </c>
      <c r="C4" s="23">
        <f>'Variables de control'!$D$5</f>
        <v>6000</v>
      </c>
      <c r="D4" s="23">
        <f>'Variables de control'!$D$6</f>
        <v>6000</v>
      </c>
      <c r="E4" s="23">
        <f>'Variables de control'!$D$7</f>
        <v>6000</v>
      </c>
      <c r="F4" s="23">
        <f>'Variables de control'!$H$4</f>
        <v>2000</v>
      </c>
      <c r="G4" s="23">
        <f>'Variables de control'!$H$5</f>
        <v>2000</v>
      </c>
      <c r="H4" s="23">
        <f>'Variables de control'!$H$6</f>
        <v>2000</v>
      </c>
      <c r="I4" s="24">
        <f>'Variables de control'!$H$7</f>
        <v>2000</v>
      </c>
      <c r="J4" s="25">
        <f>AVERAGEIFS('Resultados de la simulacion'!F:F,'Resultados de la simulacion'!D:D,"=Nivel de servicio1")</f>
        <v>1</v>
      </c>
      <c r="K4" s="26">
        <f>AVERAGEIFS('Resultados de la simulacion'!F:F,'Resultados de la simulacion'!D:D,"=Nivel de servicio2")</f>
        <v>1</v>
      </c>
      <c r="L4" s="26">
        <f>AVERAGEIFS('Resultados de la simulacion'!F:F,'Resultados de la simulacion'!D:D,"=Nivel de servicio3")</f>
        <v>1</v>
      </c>
      <c r="M4" s="26">
        <f>AVERAGEIFS('Resultados de la simulacion'!F:F,'Resultados de la simulacion'!D:D,"=Nivel de servicio4")</f>
        <v>1</v>
      </c>
      <c r="N4" s="27">
        <f>AVERAGEIFS('Resultados de la simulacion'!G:G,'Resultados de la simulacion'!D:D,"=costo_total")</f>
        <v>6593583.3207600461</v>
      </c>
    </row>
    <row r="5" spans="2:14" ht="15.75" thickBot="1" x14ac:dyDescent="0.3"/>
    <row r="6" spans="2:14" x14ac:dyDescent="0.25">
      <c r="B6" s="56" t="s">
        <v>120</v>
      </c>
      <c r="C6" s="57"/>
      <c r="D6" s="57"/>
      <c r="E6" s="57"/>
      <c r="F6" s="58"/>
      <c r="H6" s="59" t="s">
        <v>128</v>
      </c>
      <c r="I6" s="60"/>
      <c r="J6" s="60"/>
      <c r="K6" s="60"/>
      <c r="L6" s="61"/>
    </row>
    <row r="7" spans="2:14" x14ac:dyDescent="0.25">
      <c r="B7" s="11" t="s">
        <v>127</v>
      </c>
      <c r="C7" s="7" t="s">
        <v>123</v>
      </c>
      <c r="D7" s="7" t="s">
        <v>124</v>
      </c>
      <c r="E7" s="7" t="s">
        <v>125</v>
      </c>
      <c r="F7" s="12" t="s">
        <v>126</v>
      </c>
      <c r="H7" s="11" t="s">
        <v>129</v>
      </c>
      <c r="I7" s="7" t="s">
        <v>123</v>
      </c>
      <c r="J7" s="7" t="s">
        <v>124</v>
      </c>
      <c r="K7" s="7" t="s">
        <v>125</v>
      </c>
      <c r="L7" s="12" t="s">
        <v>126</v>
      </c>
    </row>
    <row r="8" spans="2:14" x14ac:dyDescent="0.25">
      <c r="B8" s="11" t="s">
        <v>121</v>
      </c>
      <c r="C8" s="6">
        <f>ROUND(_xlfn.MINIFS('Resultados de la simulacion'!H:H,'Resultados de la simulacion'!D:D,"=Nivel de inventario1"),0)</f>
        <v>945</v>
      </c>
      <c r="D8" s="6">
        <f>ROUND(_xlfn.MINIFS('Resultados de la simulacion'!H:H,'Resultados de la simulacion'!D:D,"=Nivel de inventario2"),0)</f>
        <v>1465</v>
      </c>
      <c r="E8" s="6">
        <f>ROUND(_xlfn.MINIFS('Resultados de la simulacion'!H:H,'Resultados de la simulacion'!D:D,"=Nivel de inventario3"),0)</f>
        <v>310</v>
      </c>
      <c r="F8" s="45">
        <f>ROUND(_xlfn.MINIFS('Resultados de la simulacion'!H:H,'Resultados de la simulacion'!D:D,"=Nivel de inventario4"),0)</f>
        <v>1244</v>
      </c>
      <c r="H8" s="11" t="s">
        <v>130</v>
      </c>
      <c r="I8" s="6">
        <f>ROUND(AVERAGEIFS('Resultados de la simulacion'!F:F,'Resultados de la simulacion'!D:D,"=Cantidad_Ordenada_F1P1"),0)</f>
        <v>437</v>
      </c>
      <c r="J8" s="6">
        <f>ROUND(AVERAGEIFS('Resultados de la simulacion'!F:F,'Resultados de la simulacion'!D:D,"=Cantidad_Ordenada_F1P2"),0)</f>
        <v>242</v>
      </c>
      <c r="K8" s="6">
        <f>ROUND(AVERAGEIFS('Resultados de la simulacion'!F:F,'Resultados de la simulacion'!D:D,"=Cantidad_Ordenada_F1P3"),0)</f>
        <v>702</v>
      </c>
      <c r="L8" s="45">
        <f>ROUND(AVERAGEIFS('Resultados de la simulacion'!F:F,'Resultados de la simulacion'!D:D,"=Cantidad_Ordenada_F1P4"),0)</f>
        <v>220</v>
      </c>
    </row>
    <row r="9" spans="2:14" x14ac:dyDescent="0.25">
      <c r="B9" s="11" t="s">
        <v>122</v>
      </c>
      <c r="C9" s="6">
        <f>ROUND(_xlfn.MAXIFS('Resultados de la simulacion'!I:I,'Resultados de la simulacion'!D:D,"=Nivel de inventario1"),0)</f>
        <v>5486</v>
      </c>
      <c r="D9" s="6">
        <f>ROUND(_xlfn.MAXIFS('Resultados de la simulacion'!I:I,'Resultados de la simulacion'!D:D,"=Nivel de inventario2"),0)</f>
        <v>5738</v>
      </c>
      <c r="E9" s="6">
        <f>ROUND(_xlfn.MAXIFS('Resultados de la simulacion'!I:I,'Resultados de la simulacion'!D:D,"=Nivel de inventario3"),0)</f>
        <v>5195</v>
      </c>
      <c r="F9" s="45">
        <f>ROUND(_xlfn.MAXIFS('Resultados de la simulacion'!I:I,'Resultados de la simulacion'!D:D,"=Nivel de inventario4"),0)</f>
        <v>5678</v>
      </c>
      <c r="H9" s="11" t="s">
        <v>131</v>
      </c>
      <c r="I9" s="6">
        <f>ROUND(AVERAGEIFS('Resultados de la simulacion'!F:F,'Resultados de la simulacion'!D:D,"=Cantidad_Ordenada_F2P1"),0)</f>
        <v>8</v>
      </c>
      <c r="J9" s="6">
        <f>ROUND(AVERAGEIFS('Resultados de la simulacion'!F:F,'Resultados de la simulacion'!D:D,"=Cantidad_Ordenada_F2P2"),0)</f>
        <v>2</v>
      </c>
      <c r="K9" s="6">
        <f>ROUND(AVERAGEIFS('Resultados de la simulacion'!F:F,'Resultados de la simulacion'!D:D,"=Cantidad_Ordenada_F2P3"),0)</f>
        <v>0</v>
      </c>
      <c r="L9" s="45">
        <f>ROUND(AVERAGEIFS('Resultados de la simulacion'!F:F,'Resultados de la simulacion'!D:D,"=Cantidad_Ordenada_F2P4"),0)</f>
        <v>87</v>
      </c>
    </row>
    <row r="10" spans="2:14" ht="15.75" thickBot="1" x14ac:dyDescent="0.3">
      <c r="B10" s="48" t="s">
        <v>45</v>
      </c>
      <c r="C10" s="46">
        <f>ROUND(AVERAGEIFS('Resultados de la simulacion'!F:F,'Resultados de la simulacion'!D:D,"=Nivel de inventario1"),0)</f>
        <v>3527</v>
      </c>
      <c r="D10" s="46">
        <f>ROUND(_xlfn.MINIFS('Resultados de la simulacion'!F:F,'Resultados de la simulacion'!D:D,"=Nivel de inventario2"),0)</f>
        <v>3600</v>
      </c>
      <c r="E10" s="46">
        <f>ROUND(_xlfn.MINIFS('Resultados de la simulacion'!F:F,'Resultados de la simulacion'!D:D,"=Nivel de inventario3"),0)</f>
        <v>3106</v>
      </c>
      <c r="F10" s="47">
        <f>ROUND(_xlfn.MINIFS('Resultados de la simulacion'!F:F,'Resultados de la simulacion'!D:D,"=Nivel de inventario4"),0)</f>
        <v>3602</v>
      </c>
      <c r="H10" s="11" t="s">
        <v>132</v>
      </c>
      <c r="I10" s="6">
        <f>ROUND(AVERAGEIFS('Resultados de la simulacion'!F:F,'Resultados de la simulacion'!D:D,"=Cantidad_Ordenada_F3P1"),0)</f>
        <v>0</v>
      </c>
      <c r="J10" s="6">
        <f>ROUND(AVERAGEIFS('Resultados de la simulacion'!F:F,'Resultados de la simulacion'!D:D,"=Cantidad_Ordenada_F3P2"),0)</f>
        <v>0</v>
      </c>
      <c r="K10" s="6">
        <f>ROUND(AVERAGEIFS('Resultados de la simulacion'!F:F,'Resultados de la simulacion'!D:D,"=Cantidad_Ordenada_F3P3"),0)</f>
        <v>0</v>
      </c>
      <c r="L10" s="45">
        <f>ROUND(AVERAGEIFS('Resultados de la simulacion'!F:F,'Resultados de la simulacion'!D:D,"=Cantidad_Ordenada_F3P4"),0)</f>
        <v>0</v>
      </c>
    </row>
    <row r="11" spans="2:14" ht="15.75" thickBot="1" x14ac:dyDescent="0.3">
      <c r="H11" s="48" t="s">
        <v>133</v>
      </c>
      <c r="I11" s="46">
        <f>ROUND(AVERAGEIFS('Resultados de la simulacion'!F:F,'Resultados de la simulacion'!D:D,"=Cantidad_Ordenada_F4P1"),0)</f>
        <v>0</v>
      </c>
      <c r="J11" s="46">
        <f>ROUND(AVERAGEIFS('Resultados de la simulacion'!F:F,'Resultados de la simulacion'!D:D,"=Cantidad_Ordenada_F4P2"),0)</f>
        <v>0</v>
      </c>
      <c r="K11" s="46">
        <f>ROUND(AVERAGEIFS('Resultados de la simulacion'!F:F,'Resultados de la simulacion'!D:D,"=Cantidad_Ordenada_F4P3"),0)</f>
        <v>0</v>
      </c>
      <c r="L11" s="47">
        <f>ROUND(AVERAGEIFS('Resultados de la simulacion'!F:F,'Resultados de la simulacion'!D:D,"=Cantidad_Ordenada_F4P4"),0)</f>
        <v>0</v>
      </c>
    </row>
  </sheetData>
  <sheetProtection algorithmName="SHA-512" hashValue="GTd4odhoiGq3ChANasXJR/U9pMdAVeOpJaPrqXqbPphNz9214pJA9wx5o46YhdGjaTPdJ031/oWPYH5uO6RWDw==" saltValue="xg3WBEoDOAE2xFYu/F1L5A==" spinCount="100000" sheet="1" objects="1" scenarios="1"/>
  <mergeCells count="4">
    <mergeCell ref="B2:I2"/>
    <mergeCell ref="J2:N2"/>
    <mergeCell ref="B6:F6"/>
    <mergeCell ref="H6:L6"/>
  </mergeCells>
  <conditionalFormatting sqref="J4">
    <cfRule type="cellIs" dxfId="3" priority="4" operator="lessThan">
      <formula>0.95</formula>
    </cfRule>
    <cfRule type="colorScale" priority="5">
      <colorScale>
        <cfvo type="min"/>
        <cfvo type="max"/>
        <color rgb="FFF8696B"/>
        <color rgb="FFFCFCFF"/>
      </colorScale>
    </cfRule>
  </conditionalFormatting>
  <conditionalFormatting sqref="K4">
    <cfRule type="cellIs" dxfId="2" priority="3" operator="lessThan">
      <formula>0.95</formula>
    </cfRule>
  </conditionalFormatting>
  <conditionalFormatting sqref="L4">
    <cfRule type="cellIs" dxfId="1" priority="2" operator="lessThan">
      <formula>0.95</formula>
    </cfRule>
  </conditionalFormatting>
  <conditionalFormatting sqref="M4">
    <cfRule type="cellIs" dxfId="0" priority="1" operator="lessThan">
      <formula>0.95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Set Up</vt:lpstr>
      <vt:lpstr>Parametros de entrada</vt:lpstr>
      <vt:lpstr>Arbol de decision</vt:lpstr>
      <vt:lpstr>Variables de control</vt:lpstr>
      <vt:lpstr>Resultados de la simulacion</vt:lpstr>
      <vt:lpstr>Resultados</vt:lpstr>
      <vt:lpstr>Analisis conjunto</vt:lpstr>
      <vt:lpstr>Resultados AMS</vt:lpstr>
      <vt:lpstr>Resultados LON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araya jimenez</dc:creator>
  <cp:lastModifiedBy>rodrigo araya jimenez</cp:lastModifiedBy>
  <dcterms:created xsi:type="dcterms:W3CDTF">2015-06-05T18:19:34Z</dcterms:created>
  <dcterms:modified xsi:type="dcterms:W3CDTF">2020-11-29T21:51:17Z</dcterms:modified>
</cp:coreProperties>
</file>